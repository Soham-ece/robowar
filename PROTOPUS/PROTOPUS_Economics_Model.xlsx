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Unit Economics" sheetId="3" state="visible" r:id="rId5"/>
    <sheet name="Board Cost" sheetId="4" state="visible" r:id="rId6"/>
    <sheet name="Payback" sheetId="5" state="visible" r:id="rId7"/>
    <sheet name="Throughput &amp; Scale" sheetId="6" state="visible" r:id="rId8"/>
    <sheet name="Use of Funds" sheetId="7" state="visible" r:id="rId9"/>
    <sheet name="Competitors" sheetId="8" state="visible" r:id="rId10"/>
    <sheet name="Market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<sst xmlns="http://schemas.openxmlformats.org/spreadsheetml/2006/main" count="362" uniqueCount="312">
  <si>
    <t xml:space="preserve">PROTOPUS — economics model behind the murder-board answers (2 Oct 2026)</t>
  </si>
  <si>
    <t xml:space="preserve">How to use</t>
  </si>
  <si>
    <t xml:space="preserve">• Blue numbers are inputs. Change them and every black formula recalculates. Yellow cells are the key levers.</t>
  </si>
  <si>
    <t xml:space="preserve">• Green numbers pull from the Assumptions sheet.</t>
  </si>
  <si>
    <t xml:space="preserve">• 'Payback' answers Prateek's question: if Baker costs ₹X lakh, how many boards before it pays for itself? Edit Assumptions!C6.</t>
  </si>
  <si>
    <t xml:space="preserve">• USD converted at ₹88, the rate used in the 29 Sep cost report, so every figure here matches that report.</t>
  </si>
  <si>
    <t xml:space="preserve">Where the numbers come from</t>
  </si>
  <si>
    <t xml:space="preserve">• Build costs: Protopus Cost Report (29 Sep 2026). Baker prototype ₹3,73,418; Mixer prototype ₹74,847; Baker production ₹1,44,842; Mixer production ₹13,740.</t>
  </si>
  <si>
    <t xml:space="preserve">• Consumable prices: prototype BOM listings (FR4 ₹99, LPSM ₹1,100/kg, Sn42Bi58 ₹1,500/500 g, TR300 ₹7,500/kg, V-bits $23.99/10). Usage per board is our engineering estimate.</t>
  </si>
  <si>
    <t xml:space="preserve">• JLCPCB prices: jlcpcb.com ($2 for 5 PCBs; PCBA $8 setup, $1.50 stencil, $0.0017/joint). Shipping and duty to India: zbotic.in guide (DHL $25–45, 10% BCD + 18% IGST, 7–20 days door to door).</t>
  </si>
  <si>
    <t xml:space="preserve">• Indian rush fab: zbotic.in (₹3,000–8,000 for 5 two-layer boards in 24 h).</t>
  </si>
  <si>
    <t xml:space="preserve">• Competitor prices: see the Competitors sheet, one source per row.</t>
  </si>
  <si>
    <t xml:space="preserve">• Selling prices, subscription prices and usage rates are PROTOPUS proposals. Pilots have not validated them yet.</t>
  </si>
  <si>
    <t xml:space="preserve">What this model does not claim</t>
  </si>
  <si>
    <t xml:space="preserve">• Cycle times are engineering targets for the first prototype. Phase 1 exists to measure them.</t>
  </si>
  <si>
    <t xml:space="preserve">• Baker is for prototypes, 1–10 boards per design. Beyond that, a fab is cheaper, and the model says so (Throughput &amp; Scale).</t>
  </si>
  <si>
    <t xml:space="preserve">• Duty, freight and China turnkey prices still need a customs broker and supplier quotes.</t>
  </si>
  <si>
    <t xml:space="preserve">Assumptions (inputs in blue)</t>
  </si>
  <si>
    <t xml:space="preserve">Item</t>
  </si>
  <si>
    <t xml:space="preserve">Unit</t>
  </si>
  <si>
    <t xml:space="preserve">Value</t>
  </si>
  <si>
    <t xml:space="preserve">Source / note</t>
  </si>
  <si>
    <t xml:space="preserve">USD → INR</t>
  </si>
  <si>
    <t xml:space="preserve">₹/$</t>
  </si>
  <si>
    <t xml:space="preserve">Rate used in the 29 Sep 2026 cost report</t>
  </si>
  <si>
    <t xml:space="preserve">Baker production cost (China parts, Delhi build, 100-unit batch)</t>
  </si>
  <si>
    <t xml:space="preserve">₹</t>
  </si>
  <si>
    <t xml:space="preserve">Cost Report 29 Sep 2026, p.3</t>
  </si>
  <si>
    <t xml:space="preserve">Baker selling price (ex-GST)</t>
  </si>
  <si>
    <t xml:space="preserve">Deck price (projected). Edit this cell to test ₹X lakh</t>
  </si>
  <si>
    <t xml:space="preserve">Mixer production cost</t>
  </si>
  <si>
    <t xml:space="preserve">Cost Report 29 Sep 2026, p.4</t>
  </si>
  <si>
    <t xml:space="preserve">Mixer selling price (ex-GST)</t>
  </si>
  <si>
    <t xml:space="preserve">Deck price (projected)</t>
  </si>
  <si>
    <t xml:space="preserve">Baker prototype build cost</t>
  </si>
  <si>
    <t xml:space="preserve">Cost Report 29 Sep 2026, p.1 (incl. 35% duty/courier on imports + 15% contingency)</t>
  </si>
  <si>
    <t xml:space="preserve">Mixer prototype build cost</t>
  </si>
  <si>
    <t xml:space="preserve">Cost Report 29 Sep 2026, p.2</t>
  </si>
  <si>
    <t xml:space="preserve">Proto plan</t>
  </si>
  <si>
    <t xml:space="preserve">₹/year</t>
  </si>
  <si>
    <t xml:space="preserve">Deck price: one Proto plan per workspace (planned)</t>
  </si>
  <si>
    <t xml:space="preserve">Consumable kit price per board</t>
  </si>
  <si>
    <t xml:space="preserve">PROPOSED (FR4, mask, paste, film, jig resin)</t>
  </si>
  <si>
    <t xml:space="preserve">Board iterations per week, startup customer</t>
  </si>
  <si>
    <t xml:space="preserve">#/wk</t>
  </si>
  <si>
    <t xml:space="preserve">ASSUMPTION for payback illustration</t>
  </si>
  <si>
    <t xml:space="preserve">Board iterations per week, college lab</t>
  </si>
  <si>
    <t xml:space="preserve">Working weeks per year</t>
  </si>
  <si>
    <t xml:space="preserve">#</t>
  </si>
  <si>
    <t xml:space="preserve">ASSUMPTION</t>
  </si>
  <si>
    <t xml:space="preserve">Baker boards per year per installed machine (for recurring revenue)</t>
  </si>
  <si>
    <t xml:space="preserve">ASSUMPTION: ~3 boards/week</t>
  </si>
  <si>
    <t xml:space="preserve">Indian rush fab, 5 bare 2-layer boards (low)</t>
  </si>
  <si>
    <t xml:space="preserve">zbotic.in rush-prototyping guide (₹3,000–8,000)</t>
  </si>
  <si>
    <t xml:space="preserve">Indian rush fab, 5 bare 2-layer boards (high)</t>
  </si>
  <si>
    <t xml:space="preserve">zbotic.in rush-prototyping guide</t>
  </si>
  <si>
    <t xml:space="preserve">Unit economics per machine</t>
  </si>
  <si>
    <t xml:space="preserve">Line</t>
  </si>
  <si>
    <t xml:space="preserve">Baker</t>
  </si>
  <si>
    <t xml:space="preserve">Mixer</t>
  </si>
  <si>
    <t xml:space="preserve">Bundle</t>
  </si>
  <si>
    <t xml:space="preserve">Note</t>
  </si>
  <si>
    <t xml:space="preserve">Selling price (ex-GST)</t>
  </si>
  <si>
    <t xml:space="preserve">Production cost (landed, built in Delhi)</t>
  </si>
  <si>
    <t xml:space="preserve">China turnkey quotes pending (RFQ at 5–5,000 units)</t>
  </si>
  <si>
    <t xml:space="preserve">Gross profit per unit</t>
  </si>
  <si>
    <t xml:space="preserve">Gross margin</t>
  </si>
  <si>
    <t xml:space="preserve">Price ÷ cost</t>
  </si>
  <si>
    <t xml:space="preserve">Baker price sensitivity</t>
  </si>
  <si>
    <t xml:space="preserve">Baker price (ex-GST)</t>
  </si>
  <si>
    <t xml:space="preserve">Bundle price</t>
  </si>
  <si>
    <t xml:space="preserve">Break-even iterations vs JLCPCB</t>
  </si>
  <si>
    <t xml:space="preserve">Deck price</t>
  </si>
  <si>
    <t xml:space="preserve">Recurring revenue per installed Baker (after year 1)</t>
  </si>
  <si>
    <t xml:space="preserve">Revenue ₹/yr</t>
  </si>
  <si>
    <t xml:space="preserve">Cost ₹/yr</t>
  </si>
  <si>
    <t xml:space="preserve">Gross profit ₹/yr</t>
  </si>
  <si>
    <t xml:space="preserve">Cloud/LLM cost per lab not yet measured; set C21 once known</t>
  </si>
  <si>
    <t xml:space="preserve">Consumable kits</t>
  </si>
  <si>
    <t xml:space="preserve">Total</t>
  </si>
  <si>
    <t xml:space="preserve">What one prototype board costs: Baker vs ordering it</t>
  </si>
  <si>
    <t xml:space="preserve">A. Baker consumables per 100 × 160 mm board (components excluded)</t>
  </si>
  <si>
    <t xml:space="preserve">Pack price ₹</t>
  </si>
  <si>
    <t xml:space="preserve">Per board ₹</t>
  </si>
  <si>
    <t xml:space="preserve">Basis</t>
  </si>
  <si>
    <t xml:space="preserve">FR4 copper-clad 100×150 mm</t>
  </si>
  <si>
    <t xml:space="preserve">Listing ₹99 each (1 per board)</t>
  </si>
  <si>
    <t xml:space="preserve">Alkali-developing LPSM solder mask</t>
  </si>
  <si>
    <t xml:space="preserve">₹1,100/kg; ~3 g per board incl. waste (est.)</t>
  </si>
  <si>
    <t xml:space="preserve">Sodium carbonate developer</t>
  </si>
  <si>
    <t xml:space="preserve">Few mL of dilute solution (est.)</t>
  </si>
  <si>
    <t xml:space="preserve">Sn42Bi58 low-temp paste</t>
  </si>
  <si>
    <t xml:space="preserve">₹1,500/500 g; ~1.5 g per board (est.)</t>
  </si>
  <si>
    <t xml:space="preserve">Polyimide stencil film</t>
  </si>
  <si>
    <t xml:space="preserve">Roll ₹3,150; ~₹25 of film per board (est.)</t>
  </si>
  <si>
    <t xml:space="preserve">TR300 high-temp resin (placement jig)</t>
  </si>
  <si>
    <t xml:space="preserve">₹7,500/kg; ~15 g jig (est.)</t>
  </si>
  <si>
    <t xml:space="preserve">IPA for jig wash</t>
  </si>
  <si>
    <t xml:space="preserve">₹200/L; ~20 mL (est.)</t>
  </si>
  <si>
    <t xml:space="preserve">V-bit wear</t>
  </si>
  <si>
    <t xml:space="preserve">$23.99 per 10 bits; ~5 boards per bit (est.)</t>
  </si>
  <si>
    <t xml:space="preserve">Drill wear</t>
  </si>
  <si>
    <t xml:space="preserve">₹1,500 set; ~50 boards per set (est.)</t>
  </si>
  <si>
    <t xml:space="preserve">Electricity</t>
  </si>
  <si>
    <t xml:space="preserve">₹8/kWh; ~1.5 kWh per board (est.)</t>
  </si>
  <si>
    <t xml:space="preserve">Baker consumables per board</t>
  </si>
  <si>
    <t xml:space="preserve">B. Same board ordered from JLCPCB to India (assembled, components excluded)</t>
  </si>
  <si>
    <t xml:space="preserve">USD</t>
  </si>
  <si>
    <t xml:space="preserve">PCB, 5 pcs, 100×160 mm (over the $2 ≤100×100 tier)</t>
  </si>
  <si>
    <t xml:space="preserve">Estimate; $2 applies only up to 100×100 mm</t>
  </si>
  <si>
    <t xml:space="preserve">PCBA setup fee</t>
  </si>
  <si>
    <t xml:space="preserve">jlcpcb.com PCBA pricing</t>
  </si>
  <si>
    <t xml:space="preserve">Stencil</t>
  </si>
  <si>
    <t xml:space="preserve">SMT joints (200 × $0.0017)</t>
  </si>
  <si>
    <t xml:space="preserve">Extended-part loading fees (3 × $3)</t>
  </si>
  <si>
    <t xml:space="preserve">ASSUMPTION: 3 non-basic parts</t>
  </si>
  <si>
    <t xml:space="preserve">DHL/UPS express to India</t>
  </si>
  <si>
    <t xml:space="preserve">Midpoint of $25–45 (zbotic.in)</t>
  </si>
  <si>
    <t xml:space="preserve">Customs: 10% BCD + 18% IGST on (value + BCD)</t>
  </si>
  <si>
    <t xml:space="preserve">Effective 29.8%. IGST can be claimed back if GST-registered; BCD cannot.</t>
  </si>
  <si>
    <t xml:space="preserve">Saving per iteration with Baker (JLCPCB total − Baker consumables)</t>
  </si>
  <si>
    <t xml:space="preserve">JLCPCB assembled iteration, landed in India</t>
  </si>
  <si>
    <t xml:space="preserve">Door-to-door 7–20 days (fab + DHL + customs)</t>
  </si>
  <si>
    <t xml:space="preserve">C. Indian 24-hour fab (bare boards only; assembly extra)</t>
  </si>
  <si>
    <t xml:space="preserve">Midpoint of ₹3,000–8,000 for 5 boards</t>
  </si>
  <si>
    <t xml:space="preserve">Saving per iteration vs Baker (bare board only; conservative)</t>
  </si>
  <si>
    <t xml:space="preserve">Does Baker pay for itself? (Prateek: 'Say X lacs...')</t>
  </si>
  <si>
    <t xml:space="preserve">vs JLCPCB to India</t>
  </si>
  <si>
    <t xml:space="preserve">vs Indian 24-h fab</t>
  </si>
  <si>
    <t xml:space="preserve">Customer spend: Baker + Mixer (ex-GST)</t>
  </si>
  <si>
    <t xml:space="preserve">Direct saving per board iteration</t>
  </si>
  <si>
    <t xml:space="preserve">Engineer time and waiting days not counted</t>
  </si>
  <si>
    <t xml:space="preserve">Break-even iterations</t>
  </si>
  <si>
    <t xml:space="preserve">Months to break even, startup (Assumptions!C13 per week)</t>
  </si>
  <si>
    <t xml:space="preserve">Months to break even, college lab (Assumptions!C14 per week)</t>
  </si>
  <si>
    <t xml:space="preserve">Calendar time per iteration</t>
  </si>
  <si>
    <t xml:space="preserve">Route</t>
  </si>
  <si>
    <t xml:space="preserve">Door-to-door</t>
  </si>
  <si>
    <t xml:space="preserve">Hands-on</t>
  </si>
  <si>
    <t xml:space="preserve">Source</t>
  </si>
  <si>
    <t xml:space="preserve">JLCPCB → India (DHL)</t>
  </si>
  <si>
    <t xml:space="preserve">7–20 days</t>
  </si>
  <si>
    <t xml:space="preserve">Order + customs paperwork</t>
  </si>
  <si>
    <t xml:space="preserve">zbotic.in</t>
  </si>
  <si>
    <t xml:space="preserve">Indian rush fab (bare boards)</t>
  </si>
  <si>
    <t xml:space="preserve">24–48 h + courier</t>
  </si>
  <si>
    <t xml:space="preserve">Stencil + hand assembly extra</t>
  </si>
  <si>
    <t xml:space="preserve">Baker (target, to be measured in Phase 1)</t>
  </si>
  <si>
    <t xml:space="preserve">≈1.5–2.5 h</t>
  </si>
  <si>
    <t xml:space="preserve">≈15–25 min</t>
  </si>
  <si>
    <t xml:space="preserve">Throughput sheet</t>
  </si>
  <si>
    <t xml:space="preserve">Baker-first: customer spend, Baker only (ex-GST)</t>
  </si>
  <si>
    <t xml:space="preserve">Phase 1 sells Baker + Proto; Mixer follows</t>
  </si>
  <si>
    <t xml:space="preserve">Baker-first: break-even iterations</t>
  </si>
  <si>
    <t xml:space="preserve">Baker-first: months to break even, startup</t>
  </si>
  <si>
    <t xml:space="preserve">Baker-first: months to break even, college lab</t>
  </si>
  <si>
    <t xml:space="preserve">Cycle time per board (engineering targets, not yet measured)</t>
  </si>
  <si>
    <t xml:space="preserve">Step</t>
  </si>
  <si>
    <t xml:space="preserve">Low min</t>
  </si>
  <si>
    <t xml:space="preserve">High min</t>
  </si>
  <si>
    <t xml:space="preserve">Hands-on?</t>
  </si>
  <si>
    <t xml:space="preserve">01 Load + 02 probe height map</t>
  </si>
  <si>
    <t xml:space="preserve">Yes (load)</t>
  </si>
  <si>
    <t xml:space="preserve">Magazine feed; operator refills</t>
  </si>
  <si>
    <t xml:space="preserve">03 Isolation mill</t>
  </si>
  <si>
    <t xml:space="preserve">No</t>
  </si>
  <si>
    <t xml:space="preserve">Depends on copper area and trace count</t>
  </si>
  <si>
    <t xml:space="preserve">03 Drill</t>
  </si>
  <si>
    <t xml:space="preserve">~50 holes</t>
  </si>
  <si>
    <t xml:space="preserve">04 Vacuum clean</t>
  </si>
  <si>
    <t xml:space="preserve">06 Coat mask</t>
  </si>
  <si>
    <t xml:space="preserve">Syringe dispense</t>
  </si>
  <si>
    <t xml:space="preserve">07 UV image (10.1 in LCD, 405 nm)</t>
  </si>
  <si>
    <t xml:space="preserve">08 Wipe-develop + air knife</t>
  </si>
  <si>
    <t xml:space="preserve">09 Flood cure</t>
  </si>
  <si>
    <t xml:space="preserve">10 Laser-cut stencil</t>
  </si>
  <si>
    <t xml:space="preserve">11–12 Clamp, paste, release</t>
  </si>
  <si>
    <t xml:space="preserve">Placement jig print (parallel with 01–12)</t>
  </si>
  <si>
    <t xml:space="preserve">30–45 min incl. wash/cure; hidden behind steps 01–12</t>
  </si>
  <si>
    <t xml:space="preserve">13 Manual placement (~40 parts, 10–20 s each)</t>
  </si>
  <si>
    <t xml:space="preserve">Yes</t>
  </si>
  <si>
    <t xml:space="preserve">Vacuum pen into printed jig</t>
  </si>
  <si>
    <t xml:space="preserve">14 Reflow + cool</t>
  </si>
  <si>
    <t xml:space="preserve">Sn42Bi58, 138 °C melt</t>
  </si>
  <si>
    <t xml:space="preserve">15 Test on Mixer</t>
  </si>
  <si>
    <t xml:space="preserve">Yes (hook-up)</t>
  </si>
  <si>
    <t xml:space="preserve">Proto runs the test plan</t>
  </si>
  <si>
    <t xml:space="preserve">Total per board (minutes)</t>
  </si>
  <si>
    <t xml:space="preserve">Total per board (hours)</t>
  </si>
  <si>
    <t xml:space="preserve">Shift length (h)</t>
  </si>
  <si>
    <t xml:space="preserve">Working days per year</t>
  </si>
  <si>
    <t xml:space="preserve">Boards per shift (at slow and fast cycle)</t>
  </si>
  <si>
    <t xml:space="preserve">Boards per year, one machine, one shift</t>
  </si>
  <si>
    <t xml:space="preserve">Prateek: '1,000 boards? 10,000? 1 lakh?'</t>
  </si>
  <si>
    <t xml:space="preserve">Boards per year</t>
  </si>
  <si>
    <t xml:space="preserve">Bakers needed (1 shift, slow cycle)</t>
  </si>
  <si>
    <t xml:space="preserve">Right tool</t>
  </si>
  <si>
    <t xml:space="preserve">Why</t>
  </si>
  <si>
    <t xml:space="preserve">Same-day iteration; fab minimums and shipping dominate</t>
  </si>
  <si>
    <t xml:space="preserve">One machine covers a busy lab or startup</t>
  </si>
  <si>
    <t xml:space="preserve">Baker for iterations; fab for identical batches</t>
  </si>
  <si>
    <t xml:space="preserve">1–2 machines; any batch of &gt;10 identical boards goes to a fab</t>
  </si>
  <si>
    <t xml:space="preserve">Fab / EMS</t>
  </si>
  <si>
    <t xml:space="preserve">Production. Proto exports the validated Gerber/BOM/CPL</t>
  </si>
  <si>
    <t xml:space="preserve">Production. Baker is not built for this and we do not claim it</t>
  </si>
  <si>
    <t xml:space="preserve">₹15 lakh, proof of concept: Proto + Baker first (Mixer and Probe Matrix are step 2, after the PoC)</t>
  </si>
  <si>
    <t xml:space="preserve">Share</t>
  </si>
  <si>
    <t xml:space="preserve">Baker prototype build (full BOM, duty, 15% contingency)</t>
  </si>
  <si>
    <t xml:space="preserve">Cost Report 29 Sep 2026; costing workbook</t>
  </si>
  <si>
    <t xml:space="preserve">Baker Rev B iteration (heads, fixture, film module, wiring)</t>
  </si>
  <si>
    <t xml:space="preserve">ASSUMPTION ≈ 32% of Baker parts</t>
  </si>
  <si>
    <t xml:space="preserve">PoC consumables (~150 test boards)</t>
  </si>
  <si>
    <t xml:space="preserve">FR4 ₹99/board + bits, resin, mask, paste, demo parts</t>
  </si>
  <si>
    <t xml:space="preserve">One software + firmware engineer, 9 months at ₹50,000</t>
  </si>
  <si>
    <t xml:space="preserve">Costing workbook, PoC Budget</t>
  </si>
  <si>
    <t xml:space="preserve">Proto software + compute, 9 months at ₹15,000</t>
  </si>
  <si>
    <t xml:space="preserve">LLM API + hosting (ASSUMPTION)</t>
  </si>
  <si>
    <t xml:space="preserve">Testing + tooling (reference instruments, laser power meter, hand tools)</t>
  </si>
  <si>
    <t xml:space="preserve">Plan</t>
  </si>
  <si>
    <t xml:space="preserve">Lab set-up + safety (ESD, fume extraction, fire safety)</t>
  </si>
  <si>
    <t xml:space="preserve">Plan; university lab, no rent</t>
  </si>
  <si>
    <t xml:space="preserve">IP + legal ₹75,000, demos/outreach ₹50,000, reserve ₹1,06,582</t>
  </si>
  <si>
    <t xml:space="preserve">Plan; reserve = ask − subtotal</t>
  </si>
  <si>
    <t xml:space="preserve">No founder salary. Lean option if the round is capped at ₹10L: Baker ₹3.73L + Rev B ₹1.0L + engineer 6 months ₹3.0L + compute ₹0.9L + testing ₹1.0L = ₹9.63L + ₹0.37L reserve.</t>
  </si>
  <si>
    <t xml:space="preserve">Competitor pricing (list prices, before Indian duty and GST)</t>
  </si>
  <si>
    <t xml:space="preserve">Product</t>
  </si>
  <si>
    <t xml:space="preserve">Category</t>
  </si>
  <si>
    <t xml:space="preserve">Low (USD)</t>
  </si>
  <si>
    <t xml:space="preserve">High (USD)</t>
  </si>
  <si>
    <t xml:space="preserve">Low (₹ at ₹88)</t>
  </si>
  <si>
    <t xml:space="preserve">What it does not do</t>
  </si>
  <si>
    <t xml:space="preserve">LPKF ProtoMat S104 line</t>
  </si>
  <si>
    <t xml:space="preserve">In-house PCB (pro)</t>
  </si>
  <si>
    <t xml:space="preserve">Quote-only. $96k was a full S104 line bought new in 2019; separate machines for mask, plating, assembly</t>
  </si>
  <si>
    <t xml:space="preserve">exapro.com used listing</t>
  </si>
  <si>
    <t xml:space="preserve">Voltera NOVA</t>
  </si>
  <si>
    <t xml:space="preserve">Printed electronics</t>
  </si>
  <si>
    <t xml:space="preserve">Ink on flexible substrates; not copper FR4 + test</t>
  </si>
  <si>
    <t xml:space="preserve">store.voltera.io</t>
  </si>
  <si>
    <t xml:space="preserve">Makera Carvera</t>
  </si>
  <si>
    <t xml:space="preserve">Desktop CNC</t>
  </si>
  <si>
    <t xml:space="preserve">Mills only; no mask, stencil, assembly or test</t>
  </si>
  <si>
    <t xml:space="preserve">Makera store, Oct 2026 ($5,499)</t>
  </si>
  <si>
    <t xml:space="preserve">Makera Carvera Air</t>
  </si>
  <si>
    <t xml:space="preserve">Mills only</t>
  </si>
  <si>
    <t xml:space="preserve">Makera store, Oct 2026 ($2,499)</t>
  </si>
  <si>
    <t xml:space="preserve">BotFactory Squink</t>
  </si>
  <si>
    <t xml:space="preserve">Printed PCB + P&amp;P</t>
  </si>
  <si>
    <t xml:space="preserve">Conductive ink; SV2 price on request</t>
  </si>
  <si>
    <t xml:space="preserve">techcrunch / BotFactory</t>
  </si>
  <si>
    <t xml:space="preserve">Bantam Tools PCB mill</t>
  </si>
  <si>
    <t xml:space="preserve">Desktop PCB mill</t>
  </si>
  <si>
    <t xml:space="preserve">n/a</t>
  </si>
  <si>
    <t xml:space="preserve">Product line discontinued; company now sells art machines</t>
  </si>
  <si>
    <t xml:space="preserve">toolguyd.com</t>
  </si>
  <si>
    <t xml:space="preserve">Neoden YY1</t>
  </si>
  <si>
    <t xml:space="preserve">Pick-and-place only</t>
  </si>
  <si>
    <t xml:space="preserve">Places parts only; no board, no test</t>
  </si>
  <si>
    <t xml:space="preserve">EEVblog ('under $3K')</t>
  </si>
  <si>
    <t xml:space="preserve">Digilent Analog Discovery 3</t>
  </si>
  <si>
    <t xml:space="preserve">USB instrument</t>
  </si>
  <si>
    <t xml:space="preserve">Human reads the screen; not tied to design files</t>
  </si>
  <si>
    <t xml:space="preserve">RS / RobotShop, Oct 2026 ($389)</t>
  </si>
  <si>
    <t xml:space="preserve">ADALM2000</t>
  </si>
  <si>
    <t xml:space="preserve">Same</t>
  </si>
  <si>
    <t xml:space="preserve">Mouser / Richardson RFPD</t>
  </si>
  <si>
    <t xml:space="preserve">Moku:Go M0–M2</t>
  </si>
  <si>
    <t xml:space="preserve">Liquid Instruments / TEquipment</t>
  </si>
  <si>
    <t xml:space="preserve">Red Pitaya STEMlab 125-14</t>
  </si>
  <si>
    <t xml:space="preserve">FPGA instrument</t>
  </si>
  <si>
    <t xml:space="preserve">redpitaya.com</t>
  </si>
  <si>
    <t xml:space="preserve">Saleae Logic 8 / Pro 16</t>
  </si>
  <si>
    <t xml:space="preserve">Logic analyser</t>
  </si>
  <si>
    <t xml:space="preserve">Logic only</t>
  </si>
  <si>
    <t xml:space="preserve">saleae.com</t>
  </si>
  <si>
    <t xml:space="preserve">Rigol DHO804</t>
  </si>
  <si>
    <t xml:space="preserve">Bench scope</t>
  </si>
  <si>
    <t xml:space="preserve">Scope only</t>
  </si>
  <si>
    <t xml:space="preserve">electro-meters.com</t>
  </si>
  <si>
    <t xml:space="preserve">Flux</t>
  </si>
  <si>
    <t xml:space="preserve">AI PCB design (SaaS)</t>
  </si>
  <si>
    <t xml:space="preserve">Per editor per month. Output stops at files</t>
  </si>
  <si>
    <t xml:space="preserve">flux.ai pricing</t>
  </si>
  <si>
    <t xml:space="preserve">PROTOPUS Baker + Mixer (deck price)</t>
  </si>
  <si>
    <t xml:space="preserve">Prototyping cell + AI</t>
  </si>
  <si>
    <t xml:space="preserve">Board, mask, stencil, paste, reflow, test, driven by Proto</t>
  </si>
  <si>
    <t xml:space="preserve">India beachhead, bottom-up (upper bound, one Baker + Mixer per buyer)</t>
  </si>
  <si>
    <t xml:space="preserve">Segment</t>
  </si>
  <si>
    <t xml:space="preserve">Buyers</t>
  </si>
  <si>
    <t xml:space="preserve">Hardware ₹</t>
  </si>
  <si>
    <t xml:space="preserve">Source / assumption</t>
  </si>
  <si>
    <t xml:space="preserve">AICTE-approved engineering colleges</t>
  </si>
  <si>
    <t xml:space="preserve">educationforallinindia.com (AICTE count)</t>
  </si>
  <si>
    <t xml:space="preserve">Hardware-relevant startups (1% of 2.25 lakh DPIIT startups)</t>
  </si>
  <si>
    <t xml:space="preserve">2.25 lakh: TiE / DPIIT early 2026. 1% share is an ASSUMPTION</t>
  </si>
  <si>
    <t xml:space="preserve">Total one-time hardware pool</t>
  </si>
  <si>
    <t xml:space="preserve">Baker-first pool (Baker only, step 1)</t>
  </si>
  <si>
    <t xml:space="preserve">Hardware-relevant share of DPIIT startups</t>
  </si>
  <si>
    <t xml:space="preserve">Recurring Proto plan pool per year (₹9,999/yr × all buyers above)</t>
  </si>
  <si>
    <t xml:space="preserve">Context numbers (not in the sum)</t>
  </si>
  <si>
    <t xml:space="preserve">Atal Tinkering Labs set up (schools)</t>
  </si>
  <si>
    <t xml:space="preserve">AIM/PIB 2025: 722 districts, 1.1 crore students</t>
  </si>
  <si>
    <t xml:space="preserve">New ATLs announced for the next 5 years</t>
  </si>
  <si>
    <t xml:space="preserve">Union Budget 2025-26</t>
  </si>
  <si>
    <t xml:space="preserve">ATL grant per school (₹)</t>
  </si>
  <si>
    <t xml:space="preserve">AIM: ₹10 lakh setup + ₹10 lakh O&amp;M over 5 years</t>
  </si>
  <si>
    <t xml:space="preserve">B.Tech students enrolled</t>
  </si>
  <si>
    <t xml:space="preserve">AISHE, 23.2 lakh</t>
  </si>
  <si>
    <t xml:space="preserve">C2S academic institutions + DLI startups</t>
  </si>
  <si>
    <t xml:space="preserve">MeitY/PIB: 305 + 95</t>
  </si>
  <si>
    <t xml:space="preserve">Fab Labs worldwide</t>
  </si>
  <si>
    <t xml:space="preserve">Fab Foundation: 2,300+ (other counts 2,700+)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</si>
</sst>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"/>
    <numFmt numFmtId="166" formatCode="[&gt;=10000000]\₹##\,##\,##\,##0;[&gt;=100000]\₹##\,##\,##0;\₹#,##0"/>
    <numFmt numFmtId="167" formatCode="0.0%"/>
    <numFmt numFmtId="168" formatCode="0.00\x"/>
    <numFmt numFmtId="169" formatCode="\₹#,##0.0"/>
    <numFmt numFmtId="170" formatCode="\₹#,##0"/>
    <numFmt numFmtId="171" formatCode="\$#,##0.00"/>
    <numFmt numFmtId="172" formatCode="#,##0.0"/>
    <numFmt numFmtId="173" formatCode="0.0"/>
    <numFmt numFmtId="174" formatCode="\$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2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B3A2F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3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2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8C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3A2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1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/>
    </row>
    <row r="3" customFormat="false" ht="15" hidden="false" customHeight="true" outlineLevel="0" collapsed="false">
      <c r="A3" s="4" t="s">
        <v>1</v>
      </c>
    </row>
    <row r="4" customFormat="false" ht="15" hidden="false" customHeight="true" outlineLevel="0" collapsed="false">
      <c r="A4" s="3" t="s">
        <v>2</v>
      </c>
    </row>
    <row r="5" customFormat="false" ht="15" hidden="false" customHeight="true" outlineLevel="0" collapsed="false">
      <c r="A5" s="3" t="s">
        <v>3</v>
      </c>
    </row>
    <row r="6" customFormat="false" ht="15" hidden="false" customHeight="true" outlineLevel="0" collapsed="false">
      <c r="A6" s="3" t="s">
        <v>4</v>
      </c>
    </row>
    <row r="7" customFormat="false" ht="15" hidden="false" customHeight="true" outlineLevel="0" collapsed="false">
      <c r="A7" s="3" t="s">
        <v>5</v>
      </c>
    </row>
    <row r="8" customFormat="false" ht="15" hidden="false" customHeight="true" outlineLevel="0" collapsed="false">
      <c r="A8" s="3"/>
    </row>
    <row r="9" customFormat="false" ht="15" hidden="false" customHeight="true" outlineLevel="0" collapsed="false">
      <c r="A9" s="4" t="s">
        <v>6</v>
      </c>
    </row>
    <row r="10" customFormat="false" ht="26.25" hidden="false" customHeight="true" outlineLevel="0" collapsed="false">
      <c r="A10" s="3" t="s">
        <v>7</v>
      </c>
    </row>
    <row r="11" customFormat="false" ht="26.25" hidden="false" customHeight="true" outlineLevel="0" collapsed="false">
      <c r="A11" s="3" t="s">
        <v>8</v>
      </c>
    </row>
    <row r="12" customFormat="false" ht="26.25" hidden="false" customHeight="true" outlineLevel="0" collapsed="false">
      <c r="A12" s="3" t="s">
        <v>9</v>
      </c>
    </row>
    <row r="13" customFormat="false" ht="15" hidden="false" customHeight="true" outlineLevel="0" collapsed="false">
      <c r="A13" s="3" t="s">
        <v>10</v>
      </c>
    </row>
    <row r="14" customFormat="false" ht="15" hidden="false" customHeight="true" outlineLevel="0" collapsed="false">
      <c r="A14" s="3" t="s">
        <v>11</v>
      </c>
    </row>
    <row r="15" customFormat="false" ht="15" hidden="false" customHeight="true" outlineLevel="0" collapsed="false">
      <c r="A15" s="3" t="s">
        <v>12</v>
      </c>
    </row>
    <row r="16" customFormat="false" ht="15" hidden="false" customHeight="true" outlineLevel="0" collapsed="false">
      <c r="A16" s="3"/>
    </row>
    <row r="17" customFormat="false" ht="15" hidden="false" customHeight="true" outlineLevel="0" collapsed="false">
      <c r="A17" s="4" t="s">
        <v>13</v>
      </c>
    </row>
    <row r="18" customFormat="false" ht="15" hidden="false" customHeight="true" outlineLevel="0" collapsed="false">
      <c r="A18" s="3" t="s">
        <v>14</v>
      </c>
    </row>
    <row r="19" customFormat="false" ht="15" hidden="false" customHeight="true" outlineLevel="0" collapsed="false">
      <c r="A19" s="3" t="s">
        <v>15</v>
      </c>
    </row>
    <row r="20" customFormat="false" ht="15" hidden="false" customHeight="true" outlineLevel="0" collapsed="false">
      <c r="A20" s="3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6"/>
    <col collapsed="false" customWidth="true" hidden="false" outlineLevel="0" max="3" min="2" style="1" width="16"/>
    <col collapsed="false" customWidth="true" hidden="false" outlineLevel="0" max="4" min="4" style="1" width="60"/>
  </cols>
  <sheetData>
    <row r="1" customFormat="false" ht="17.25" hidden="false" customHeight="true" outlineLevel="0" collapsed="false">
      <c r="A1" s="5" t="s">
        <v>17</v>
      </c>
    </row>
    <row r="3" customFormat="false" ht="15" hidden="false" customHeight="true" outlineLevel="0" collapsed="false">
      <c r="A3" s="6" t="s">
        <v>18</v>
      </c>
      <c r="B3" s="6" t="s">
        <v>19</v>
      </c>
      <c r="C3" s="6" t="s">
        <v>20</v>
      </c>
      <c r="D3" s="6" t="s">
        <v>21</v>
      </c>
    </row>
    <row r="4" customFormat="false" ht="15" hidden="false" customHeight="true" outlineLevel="0" collapsed="false">
      <c r="A4" s="7" t="s">
        <v>22</v>
      </c>
      <c r="B4" s="7" t="s">
        <v>23</v>
      </c>
      <c r="C4" s="8" t="n">
        <v>88</v>
      </c>
      <c r="D4" s="9" t="s">
        <v>24</v>
      </c>
    </row>
    <row r="5" customFormat="false" ht="15" hidden="false" customHeight="true" outlineLevel="0" collapsed="false">
      <c r="A5" s="7" t="s">
        <v>25</v>
      </c>
      <c r="B5" s="7" t="s">
        <v>26</v>
      </c>
      <c r="C5" s="10" t="n">
        <v>144842</v>
      </c>
      <c r="D5" s="9" t="s">
        <v>27</v>
      </c>
    </row>
    <row r="6" customFormat="false" ht="15" hidden="false" customHeight="true" outlineLevel="0" collapsed="false">
      <c r="A6" s="7" t="s">
        <v>28</v>
      </c>
      <c r="B6" s="7" t="s">
        <v>26</v>
      </c>
      <c r="C6" s="11" t="n">
        <v>299000</v>
      </c>
      <c r="D6" s="9" t="s">
        <v>29</v>
      </c>
    </row>
    <row r="7" customFormat="false" ht="15" hidden="false" customHeight="true" outlineLevel="0" collapsed="false">
      <c r="A7" s="7" t="s">
        <v>30</v>
      </c>
      <c r="B7" s="7" t="s">
        <v>26</v>
      </c>
      <c r="C7" s="10" t="n">
        <v>13740</v>
      </c>
      <c r="D7" s="9" t="s">
        <v>31</v>
      </c>
    </row>
    <row r="8" customFormat="false" ht="15" hidden="false" customHeight="true" outlineLevel="0" collapsed="false">
      <c r="A8" s="7" t="s">
        <v>32</v>
      </c>
      <c r="B8" s="7" t="s">
        <v>26</v>
      </c>
      <c r="C8" s="11" t="n">
        <v>34999</v>
      </c>
      <c r="D8" s="9" t="s">
        <v>33</v>
      </c>
    </row>
    <row r="9" customFormat="false" ht="15" hidden="false" customHeight="true" outlineLevel="0" collapsed="false">
      <c r="A9" s="7" t="s">
        <v>34</v>
      </c>
      <c r="B9" s="7" t="s">
        <v>26</v>
      </c>
      <c r="C9" s="10" t="n">
        <v>373418</v>
      </c>
      <c r="D9" s="9" t="s">
        <v>35</v>
      </c>
    </row>
    <row r="10" customFormat="false" ht="15" hidden="false" customHeight="true" outlineLevel="0" collapsed="false">
      <c r="A10" s="7" t="s">
        <v>36</v>
      </c>
      <c r="B10" s="7" t="s">
        <v>26</v>
      </c>
      <c r="C10" s="10" t="n">
        <v>74847</v>
      </c>
      <c r="D10" s="9" t="s">
        <v>37</v>
      </c>
    </row>
    <row r="11" customFormat="false" ht="15" hidden="false" customHeight="true" outlineLevel="0" collapsed="false">
      <c r="A11" s="7" t="s">
        <v>38</v>
      </c>
      <c r="B11" s="7" t="s">
        <v>39</v>
      </c>
      <c r="C11" s="10" t="n">
        <v>9999</v>
      </c>
      <c r="D11" s="9" t="s">
        <v>40</v>
      </c>
    </row>
    <row r="12" customFormat="false" ht="15" hidden="false" customHeight="true" outlineLevel="0" collapsed="false">
      <c r="A12" s="7" t="s">
        <v>41</v>
      </c>
      <c r="B12" s="7" t="s">
        <v>26</v>
      </c>
      <c r="C12" s="10" t="n">
        <v>699</v>
      </c>
      <c r="D12" s="9" t="s">
        <v>42</v>
      </c>
    </row>
    <row r="13" customFormat="false" ht="15" hidden="false" customHeight="true" outlineLevel="0" collapsed="false">
      <c r="A13" s="7" t="s">
        <v>43</v>
      </c>
      <c r="B13" s="7" t="s">
        <v>44</v>
      </c>
      <c r="C13" s="12" t="n">
        <v>2</v>
      </c>
      <c r="D13" s="9" t="s">
        <v>45</v>
      </c>
    </row>
    <row r="14" customFormat="false" ht="15" hidden="false" customHeight="true" outlineLevel="0" collapsed="false">
      <c r="A14" s="7" t="s">
        <v>46</v>
      </c>
      <c r="B14" s="7" t="s">
        <v>44</v>
      </c>
      <c r="C14" s="12" t="n">
        <v>1</v>
      </c>
      <c r="D14" s="9" t="s">
        <v>45</v>
      </c>
    </row>
    <row r="15" customFormat="false" ht="15" hidden="false" customHeight="true" outlineLevel="0" collapsed="false">
      <c r="A15" s="7" t="s">
        <v>47</v>
      </c>
      <c r="B15" s="7" t="s">
        <v>48</v>
      </c>
      <c r="C15" s="8" t="n">
        <v>48</v>
      </c>
      <c r="D15" s="9" t="s">
        <v>49</v>
      </c>
    </row>
    <row r="16" customFormat="false" ht="15" hidden="false" customHeight="true" outlineLevel="0" collapsed="false">
      <c r="A16" s="7" t="s">
        <v>50</v>
      </c>
      <c r="B16" s="7" t="s">
        <v>48</v>
      </c>
      <c r="C16" s="8" t="n">
        <v>150</v>
      </c>
      <c r="D16" s="9" t="s">
        <v>51</v>
      </c>
    </row>
    <row r="17" customFormat="false" ht="15" hidden="false" customHeight="true" outlineLevel="0" collapsed="false">
      <c r="A17" s="7" t="s">
        <v>52</v>
      </c>
      <c r="B17" s="7" t="s">
        <v>26</v>
      </c>
      <c r="C17" s="10" t="n">
        <v>3000</v>
      </c>
      <c r="D17" s="9" t="s">
        <v>53</v>
      </c>
    </row>
    <row r="18" customFormat="false" ht="15" hidden="false" customHeight="true" outlineLevel="0" collapsed="false">
      <c r="A18" s="7" t="s">
        <v>54</v>
      </c>
      <c r="B18" s="7" t="s">
        <v>26</v>
      </c>
      <c r="C18" s="10" t="n">
        <v>8000</v>
      </c>
      <c r="D18" s="9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18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5" t="s">
        <v>56</v>
      </c>
    </row>
    <row r="3" customFormat="false" ht="15" hidden="false" customHeight="true" outlineLevel="0" collapsed="false">
      <c r="A3" s="6" t="s">
        <v>57</v>
      </c>
      <c r="B3" s="6" t="s">
        <v>58</v>
      </c>
      <c r="C3" s="6" t="s">
        <v>59</v>
      </c>
      <c r="D3" s="6" t="s">
        <v>60</v>
      </c>
      <c r="E3" s="6" t="s">
        <v>61</v>
      </c>
    </row>
    <row r="4" customFormat="false" ht="15" hidden="false" customHeight="true" outlineLevel="0" collapsed="false">
      <c r="A4" s="7" t="s">
        <v>62</v>
      </c>
      <c r="B4" s="13" t="n">
        <f aca="false">Assumptions!C6</f>
        <v>299000</v>
      </c>
      <c r="C4" s="13" t="n">
        <f aca="false">Assumptions!C8</f>
        <v>34999</v>
      </c>
      <c r="D4" s="14" t="n">
        <f aca="false">B4+C4</f>
        <v>333999</v>
      </c>
    </row>
    <row r="5" customFormat="false" ht="15" hidden="false" customHeight="true" outlineLevel="0" collapsed="false">
      <c r="A5" s="7" t="s">
        <v>63</v>
      </c>
      <c r="B5" s="13" t="n">
        <f aca="false">Assumptions!C5</f>
        <v>144842</v>
      </c>
      <c r="C5" s="13" t="n">
        <f aca="false">Assumptions!C7</f>
        <v>13740</v>
      </c>
      <c r="D5" s="14" t="n">
        <f aca="false">B5+C5</f>
        <v>158582</v>
      </c>
      <c r="E5" s="9" t="s">
        <v>64</v>
      </c>
    </row>
    <row r="6" customFormat="false" ht="15" hidden="false" customHeight="true" outlineLevel="0" collapsed="false">
      <c r="A6" s="7" t="s">
        <v>65</v>
      </c>
      <c r="B6" s="14" t="n">
        <f aca="false">B4-B5</f>
        <v>154158</v>
      </c>
      <c r="C6" s="14" t="n">
        <f aca="false">C4-C5</f>
        <v>21259</v>
      </c>
      <c r="D6" s="14" t="n">
        <f aca="false">D4-D5</f>
        <v>175417</v>
      </c>
    </row>
    <row r="7" customFormat="false" ht="15" hidden="false" customHeight="true" outlineLevel="0" collapsed="false">
      <c r="A7" s="7" t="s">
        <v>66</v>
      </c>
      <c r="B7" s="15" t="n">
        <f aca="false">IF(B4=0,0,B6/B4)</f>
        <v>0.515578595317726</v>
      </c>
      <c r="C7" s="15" t="n">
        <f aca="false">IF(C4=0,0,C6/C4)</f>
        <v>0.607417354781565</v>
      </c>
      <c r="D7" s="15" t="n">
        <f aca="false">IF(D4=0,0,D6/D4)</f>
        <v>0.525202171263986</v>
      </c>
    </row>
    <row r="8" customFormat="false" ht="15" hidden="false" customHeight="true" outlineLevel="0" collapsed="false">
      <c r="A8" s="7" t="s">
        <v>67</v>
      </c>
      <c r="B8" s="16" t="n">
        <f aca="false">IF(B5=0,0,B4/B5)</f>
        <v>2.06431836069648</v>
      </c>
      <c r="C8" s="16" t="n">
        <f aca="false">IF(C5=0,0,C4/C5)</f>
        <v>2.54723435225619</v>
      </c>
      <c r="D8" s="16" t="n">
        <f aca="false">IF(D5=0,0,D4/D5)</f>
        <v>2.10615958936071</v>
      </c>
    </row>
    <row r="11" customFormat="false" ht="15" hidden="false" customHeight="true" outlineLevel="0" collapsed="false">
      <c r="A11" s="17" t="s">
        <v>68</v>
      </c>
    </row>
    <row r="12" customFormat="false" ht="26.25" hidden="false" customHeight="true" outlineLevel="0" collapsed="false">
      <c r="A12" s="6" t="s">
        <v>69</v>
      </c>
      <c r="B12" s="6" t="s">
        <v>66</v>
      </c>
      <c r="C12" s="6" t="s">
        <v>70</v>
      </c>
      <c r="D12" s="6" t="s">
        <v>71</v>
      </c>
      <c r="E12" s="6" t="s">
        <v>61</v>
      </c>
    </row>
    <row r="13" customFormat="false" ht="15" hidden="false" customHeight="true" outlineLevel="0" collapsed="false">
      <c r="A13" s="10" t="n">
        <v>299000</v>
      </c>
      <c r="B13" s="15" t="n">
        <f aca="false">(A13-Assumptions!$C$5)/A13</f>
        <v>0.515578595317726</v>
      </c>
      <c r="C13" s="14" t="n">
        <f aca="false">A13+Assumptions!$C$8</f>
        <v>333999</v>
      </c>
      <c r="D13" s="18" t="n">
        <f aca="false">ROUNDUP(C13/'Board Cost'!$C$27,0)</f>
        <v>53</v>
      </c>
      <c r="E13" s="1" t="s">
        <v>72</v>
      </c>
    </row>
    <row r="14" customFormat="false" ht="15" hidden="false" customHeight="true" outlineLevel="0" collapsed="false">
      <c r="A14" s="10" t="n">
        <v>349000</v>
      </c>
      <c r="B14" s="15" t="n">
        <f aca="false">(A14-Assumptions!$C$5)/A14</f>
        <v>0.58497994269341</v>
      </c>
      <c r="C14" s="14" t="n">
        <f aca="false">A14+Assumptions!$C$8</f>
        <v>383999</v>
      </c>
      <c r="D14" s="18" t="n">
        <f aca="false">ROUNDUP(C14/'Board Cost'!$C$27,0)</f>
        <v>61</v>
      </c>
      <c r="E14" s="9"/>
    </row>
    <row r="15" customFormat="false" ht="15" hidden="false" customHeight="true" outlineLevel="0" collapsed="false">
      <c r="A15" s="10" t="n">
        <v>399000</v>
      </c>
      <c r="B15" s="15" t="n">
        <f aca="false">(A15-Assumptions!$C$5)/A15</f>
        <v>0.636987468671679</v>
      </c>
      <c r="C15" s="14" t="n">
        <f aca="false">A15+Assumptions!$C$8</f>
        <v>433999</v>
      </c>
      <c r="D15" s="18" t="n">
        <f aca="false">ROUNDUP(C15/'Board Cost'!$C$27,0)</f>
        <v>68</v>
      </c>
    </row>
    <row r="16" customFormat="false" ht="15" hidden="false" customHeight="true" outlineLevel="0" collapsed="false">
      <c r="A16" s="10" t="n">
        <v>449000</v>
      </c>
      <c r="B16" s="15" t="n">
        <f aca="false">(A16-Assumptions!$C$5)/A16</f>
        <v>0.677412026726058</v>
      </c>
      <c r="C16" s="14" t="n">
        <f aca="false">A16+Assumptions!$C$8</f>
        <v>483999</v>
      </c>
      <c r="D16" s="18" t="n">
        <f aca="false">ROUNDUP(C16/'Board Cost'!$C$27,0)</f>
        <v>76</v>
      </c>
    </row>
    <row r="19" customFormat="false" ht="15" hidden="false" customHeight="true" outlineLevel="0" collapsed="false">
      <c r="A19" s="17" t="s">
        <v>73</v>
      </c>
    </row>
    <row r="20" customFormat="false" ht="15" hidden="false" customHeight="true" outlineLevel="0" collapsed="false">
      <c r="A20" s="6" t="s">
        <v>57</v>
      </c>
      <c r="B20" s="6" t="s">
        <v>74</v>
      </c>
      <c r="C20" s="6" t="s">
        <v>75</v>
      </c>
      <c r="D20" s="6" t="s">
        <v>76</v>
      </c>
      <c r="E20" s="6" t="s">
        <v>61</v>
      </c>
    </row>
    <row r="21" customFormat="false" ht="15" hidden="false" customHeight="true" outlineLevel="0" collapsed="false">
      <c r="A21" s="7" t="s">
        <v>38</v>
      </c>
      <c r="B21" s="14" t="n">
        <f aca="false">Assumptions!C11</f>
        <v>9999</v>
      </c>
      <c r="C21" s="10" t="n">
        <v>0</v>
      </c>
      <c r="D21" s="14" t="n">
        <f aca="false">B21-C21</f>
        <v>9999</v>
      </c>
      <c r="E21" s="9" t="s">
        <v>77</v>
      </c>
    </row>
    <row r="22" customFormat="false" ht="15" hidden="false" customHeight="true" outlineLevel="0" collapsed="false">
      <c r="A22" s="7" t="s">
        <v>78</v>
      </c>
      <c r="B22" s="14" t="n">
        <f aca="false">Assumptions!C12*Assumptions!C16</f>
        <v>104850</v>
      </c>
      <c r="C22" s="14" t="n">
        <f aca="false">'Board Cost'!C16*Assumptions!C16</f>
        <v>50028.36</v>
      </c>
      <c r="D22" s="14" t="n">
        <f aca="false">B22-C22</f>
        <v>54821.64</v>
      </c>
    </row>
    <row r="23" customFormat="false" ht="15" hidden="false" customHeight="true" outlineLevel="0" collapsed="false">
      <c r="A23" s="19" t="s">
        <v>79</v>
      </c>
      <c r="B23" s="20" t="n">
        <f aca="false">B21+B22</f>
        <v>114849</v>
      </c>
      <c r="C23" s="20" t="n">
        <f aca="false">C21+C22</f>
        <v>50028.36</v>
      </c>
      <c r="D23" s="20" t="n">
        <f aca="false">D21+D22</f>
        <v>64820.64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2"/>
    <col collapsed="false" customWidth="true" hidden="false" outlineLevel="0" max="3" min="2" style="1" width="16"/>
    <col collapsed="false" customWidth="true" hidden="false" outlineLevel="0" max="4" min="4" style="1" width="52"/>
  </cols>
  <sheetData>
    <row r="1" customFormat="false" ht="17.25" hidden="false" customHeight="true" outlineLevel="0" collapsed="false">
      <c r="A1" s="5" t="s">
        <v>80</v>
      </c>
    </row>
    <row r="3" customFormat="false" ht="15" hidden="false" customHeight="true" outlineLevel="0" collapsed="false">
      <c r="A3" s="17" t="s">
        <v>81</v>
      </c>
    </row>
    <row r="4" customFormat="false" ht="15" hidden="false" customHeight="true" outlineLevel="0" collapsed="false">
      <c r="A4" s="6" t="s">
        <v>18</v>
      </c>
      <c r="B4" s="6" t="s">
        <v>82</v>
      </c>
      <c r="C4" s="6" t="s">
        <v>83</v>
      </c>
      <c r="D4" s="6" t="s">
        <v>84</v>
      </c>
    </row>
    <row r="5" customFormat="false" ht="15" hidden="false" customHeight="true" outlineLevel="0" collapsed="false">
      <c r="A5" s="7" t="s">
        <v>85</v>
      </c>
      <c r="B5" s="10" t="n">
        <v>99</v>
      </c>
      <c r="C5" s="21" t="n">
        <f aca="false">B5</f>
        <v>99</v>
      </c>
      <c r="D5" s="9" t="s">
        <v>86</v>
      </c>
    </row>
    <row r="6" customFormat="false" ht="15" hidden="false" customHeight="true" outlineLevel="0" collapsed="false">
      <c r="A6" s="7" t="s">
        <v>87</v>
      </c>
      <c r="B6" s="10" t="n">
        <v>1100</v>
      </c>
      <c r="C6" s="21" t="n">
        <f aca="false">B6/1000*3</f>
        <v>3.3</v>
      </c>
      <c r="D6" s="9" t="s">
        <v>88</v>
      </c>
    </row>
    <row r="7" customFormat="false" ht="15" hidden="false" customHeight="true" outlineLevel="0" collapsed="false">
      <c r="A7" s="7" t="s">
        <v>89</v>
      </c>
      <c r="B7" s="10" t="n">
        <v>200</v>
      </c>
      <c r="C7" s="22" t="n">
        <v>1</v>
      </c>
      <c r="D7" s="9" t="s">
        <v>90</v>
      </c>
    </row>
    <row r="8" customFormat="false" ht="15" hidden="false" customHeight="true" outlineLevel="0" collapsed="false">
      <c r="A8" s="7" t="s">
        <v>91</v>
      </c>
      <c r="B8" s="10" t="n">
        <v>1500</v>
      </c>
      <c r="C8" s="21" t="n">
        <f aca="false">B8/500*1.5</f>
        <v>4.5</v>
      </c>
      <c r="D8" s="9" t="s">
        <v>92</v>
      </c>
    </row>
    <row r="9" customFormat="false" ht="15" hidden="false" customHeight="true" outlineLevel="0" collapsed="false">
      <c r="A9" s="7" t="s">
        <v>93</v>
      </c>
      <c r="B9" s="10" t="n">
        <v>3150</v>
      </c>
      <c r="C9" s="22" t="n">
        <v>25</v>
      </c>
      <c r="D9" s="9" t="s">
        <v>94</v>
      </c>
    </row>
    <row r="10" customFormat="false" ht="15" hidden="false" customHeight="true" outlineLevel="0" collapsed="false">
      <c r="A10" s="7" t="s">
        <v>95</v>
      </c>
      <c r="B10" s="10" t="n">
        <v>7500</v>
      </c>
      <c r="C10" s="21" t="n">
        <f aca="false">B10/1000*15</f>
        <v>112.5</v>
      </c>
      <c r="D10" s="9" t="s">
        <v>96</v>
      </c>
    </row>
    <row r="11" customFormat="false" ht="15" hidden="false" customHeight="true" outlineLevel="0" collapsed="false">
      <c r="A11" s="7" t="s">
        <v>97</v>
      </c>
      <c r="B11" s="10" t="n">
        <v>200</v>
      </c>
      <c r="C11" s="21" t="n">
        <f aca="false">B11/1000*20</f>
        <v>4</v>
      </c>
      <c r="D11" s="9" t="s">
        <v>98</v>
      </c>
    </row>
    <row r="12" customFormat="false" ht="15" hidden="false" customHeight="true" outlineLevel="0" collapsed="false">
      <c r="A12" s="7" t="s">
        <v>99</v>
      </c>
      <c r="B12" s="14" t="n">
        <f aca="false">23.99*Assumptions!C4/10</f>
        <v>211.112</v>
      </c>
      <c r="C12" s="21" t="n">
        <f aca="false">B12/5</f>
        <v>42.2224</v>
      </c>
      <c r="D12" s="9" t="s">
        <v>100</v>
      </c>
    </row>
    <row r="13" customFormat="false" ht="15" hidden="false" customHeight="true" outlineLevel="0" collapsed="false">
      <c r="A13" s="7" t="s">
        <v>101</v>
      </c>
      <c r="B13" s="10" t="n">
        <v>1500</v>
      </c>
      <c r="C13" s="21" t="n">
        <f aca="false">B13/50</f>
        <v>30</v>
      </c>
      <c r="D13" s="9" t="s">
        <v>102</v>
      </c>
    </row>
    <row r="14" customFormat="false" ht="15" hidden="false" customHeight="true" outlineLevel="0" collapsed="false">
      <c r="A14" s="7" t="s">
        <v>103</v>
      </c>
      <c r="B14" s="10" t="n">
        <v>8</v>
      </c>
      <c r="C14" s="21" t="n">
        <f aca="false">B14*1.5</f>
        <v>12</v>
      </c>
      <c r="D14" s="9" t="s">
        <v>104</v>
      </c>
    </row>
    <row r="16" customFormat="false" ht="15" hidden="false" customHeight="true" outlineLevel="0" collapsed="false">
      <c r="A16" s="19" t="s">
        <v>105</v>
      </c>
      <c r="C16" s="23" t="n">
        <f aca="false">SUM(C5:C14)</f>
        <v>333.5224</v>
      </c>
    </row>
    <row r="18" customFormat="false" ht="15" hidden="false" customHeight="true" outlineLevel="0" collapsed="false">
      <c r="A18" s="17" t="s">
        <v>106</v>
      </c>
    </row>
    <row r="19" customFormat="false" ht="15" hidden="false" customHeight="true" outlineLevel="0" collapsed="false">
      <c r="A19" s="6" t="s">
        <v>18</v>
      </c>
      <c r="B19" s="6" t="s">
        <v>107</v>
      </c>
      <c r="C19" s="6" t="s">
        <v>26</v>
      </c>
      <c r="D19" s="6" t="s">
        <v>84</v>
      </c>
    </row>
    <row r="20" customFormat="false" ht="15" hidden="false" customHeight="true" outlineLevel="0" collapsed="false">
      <c r="A20" s="7" t="s">
        <v>108</v>
      </c>
      <c r="B20" s="24" t="n">
        <v>5</v>
      </c>
      <c r="C20" s="14" t="n">
        <f aca="false">B20*Assumptions!$C$4</f>
        <v>440</v>
      </c>
      <c r="D20" s="9" t="s">
        <v>109</v>
      </c>
    </row>
    <row r="21" customFormat="false" ht="15" hidden="false" customHeight="true" outlineLevel="0" collapsed="false">
      <c r="A21" s="7" t="s">
        <v>110</v>
      </c>
      <c r="B21" s="24" t="n">
        <v>8</v>
      </c>
      <c r="C21" s="14" t="n">
        <f aca="false">B21*Assumptions!$C$4</f>
        <v>704</v>
      </c>
      <c r="D21" s="9" t="s">
        <v>111</v>
      </c>
    </row>
    <row r="22" customFormat="false" ht="15" hidden="false" customHeight="true" outlineLevel="0" collapsed="false">
      <c r="A22" s="7" t="s">
        <v>112</v>
      </c>
      <c r="B22" s="24" t="n">
        <v>1.5</v>
      </c>
      <c r="C22" s="14" t="n">
        <f aca="false">B22*Assumptions!$C$4</f>
        <v>132</v>
      </c>
      <c r="D22" s="9" t="s">
        <v>111</v>
      </c>
    </row>
    <row r="23" customFormat="false" ht="15" hidden="false" customHeight="true" outlineLevel="0" collapsed="false">
      <c r="A23" s="7" t="s">
        <v>113</v>
      </c>
      <c r="B23" s="25" t="n">
        <f aca="false">200*0.0017</f>
        <v>0.34</v>
      </c>
      <c r="C23" s="14" t="n">
        <f aca="false">B23*Assumptions!$C$4</f>
        <v>29.92</v>
      </c>
      <c r="D23" s="9" t="s">
        <v>111</v>
      </c>
    </row>
    <row r="24" customFormat="false" ht="15" hidden="false" customHeight="true" outlineLevel="0" collapsed="false">
      <c r="A24" s="7" t="s">
        <v>114</v>
      </c>
      <c r="B24" s="24" t="n">
        <v>9</v>
      </c>
      <c r="C24" s="14" t="n">
        <f aca="false">B24*Assumptions!$C$4</f>
        <v>792</v>
      </c>
      <c r="D24" s="9" t="s">
        <v>115</v>
      </c>
    </row>
    <row r="25" customFormat="false" ht="15" hidden="false" customHeight="true" outlineLevel="0" collapsed="false">
      <c r="A25" s="7" t="s">
        <v>116</v>
      </c>
      <c r="B25" s="24" t="n">
        <v>35</v>
      </c>
      <c r="C25" s="14" t="n">
        <f aca="false">B25*Assumptions!$C$4</f>
        <v>3080</v>
      </c>
      <c r="D25" s="9" t="s">
        <v>117</v>
      </c>
    </row>
    <row r="26" customFormat="false" ht="15" hidden="false" customHeight="true" outlineLevel="0" collapsed="false">
      <c r="A26" s="7" t="s">
        <v>118</v>
      </c>
      <c r="C26" s="14" t="n">
        <f aca="false">SUM(C20:C25)*((1+0.1)*(1+0.18)-1)</f>
        <v>1543.02016</v>
      </c>
      <c r="D26" s="9" t="s">
        <v>119</v>
      </c>
    </row>
    <row r="27" customFormat="false" ht="15" hidden="false" customHeight="true" outlineLevel="0" collapsed="false">
      <c r="A27" s="19" t="s">
        <v>120</v>
      </c>
      <c r="C27" s="26" t="n">
        <f aca="false">SUM(C20:C26)-C16</f>
        <v>6387.41776</v>
      </c>
    </row>
    <row r="28" customFormat="false" ht="15" hidden="false" customHeight="true" outlineLevel="0" collapsed="false">
      <c r="A28" s="19" t="s">
        <v>121</v>
      </c>
      <c r="C28" s="20" t="n">
        <f aca="false">SUM(C20:C26)</f>
        <v>6720.94016</v>
      </c>
      <c r="D28" s="9" t="s">
        <v>122</v>
      </c>
    </row>
    <row r="30" customFormat="false" ht="15" hidden="false" customHeight="true" outlineLevel="0" collapsed="false">
      <c r="A30" s="17" t="s">
        <v>123</v>
      </c>
    </row>
    <row r="31" customFormat="false" ht="15" hidden="false" customHeight="true" outlineLevel="0" collapsed="false">
      <c r="A31" s="7" t="s">
        <v>124</v>
      </c>
      <c r="C31" s="13" t="n">
        <f aca="false">(Assumptions!C17+Assumptions!C18)/2</f>
        <v>5500</v>
      </c>
    </row>
    <row r="32" customFormat="false" ht="15" hidden="false" customHeight="true" outlineLevel="0" collapsed="false">
      <c r="A32" s="7" t="s">
        <v>125</v>
      </c>
      <c r="C32" s="14" t="n">
        <f aca="false">C31-C16</f>
        <v>5166.4776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6"/>
    <col collapsed="false" customWidth="true" hidden="false" outlineLevel="0" max="3" min="2" style="1" width="20"/>
    <col collapsed="false" customWidth="true" hidden="false" outlineLevel="0" max="4" min="4" style="1" width="44"/>
  </cols>
  <sheetData>
    <row r="1" customFormat="false" ht="17.25" hidden="false" customHeight="true" outlineLevel="0" collapsed="false">
      <c r="A1" s="5" t="s">
        <v>126</v>
      </c>
    </row>
    <row r="3" customFormat="false" ht="15" hidden="false" customHeight="true" outlineLevel="0" collapsed="false">
      <c r="A3" s="6" t="s">
        <v>57</v>
      </c>
      <c r="B3" s="6" t="s">
        <v>127</v>
      </c>
      <c r="C3" s="6" t="s">
        <v>128</v>
      </c>
      <c r="D3" s="6" t="s">
        <v>61</v>
      </c>
    </row>
    <row r="4" customFormat="false" ht="15" hidden="false" customHeight="true" outlineLevel="0" collapsed="false">
      <c r="A4" s="7" t="s">
        <v>129</v>
      </c>
      <c r="B4" s="13" t="n">
        <f aca="false">'Unit Economics'!D4</f>
        <v>333999</v>
      </c>
      <c r="C4" s="13" t="n">
        <f aca="false">'Unit Economics'!D4</f>
        <v>333999</v>
      </c>
    </row>
    <row r="5" customFormat="false" ht="15" hidden="false" customHeight="true" outlineLevel="0" collapsed="false">
      <c r="A5" s="7" t="s">
        <v>130</v>
      </c>
      <c r="B5" s="13" t="n">
        <f aca="false">'Board Cost'!C27</f>
        <v>6387.41776</v>
      </c>
      <c r="C5" s="13" t="n">
        <f aca="false">'Board Cost'!C32</f>
        <v>5166.4776</v>
      </c>
      <c r="D5" s="9" t="s">
        <v>131</v>
      </c>
    </row>
    <row r="6" customFormat="false" ht="15" hidden="false" customHeight="true" outlineLevel="0" collapsed="false">
      <c r="A6" s="19" t="s">
        <v>132</v>
      </c>
      <c r="B6" s="27" t="n">
        <f aca="false">IF(B5&lt;=0,0,ROUNDUP(B4/B5,0))</f>
        <v>53</v>
      </c>
      <c r="C6" s="27" t="n">
        <f aca="false">IF(C5&lt;=0,0,ROUNDUP(C4/C5,0))</f>
        <v>65</v>
      </c>
    </row>
    <row r="7" customFormat="false" ht="15" hidden="false" customHeight="true" outlineLevel="0" collapsed="false">
      <c r="A7" s="7" t="s">
        <v>133</v>
      </c>
      <c r="B7" s="28" t="n">
        <f aca="false">B6/(Assumptions!$C$13*Assumptions!$C$15/12)</f>
        <v>6.625</v>
      </c>
      <c r="C7" s="28" t="n">
        <f aca="false">C6/(Assumptions!$C$13*Assumptions!$C$15/12)</f>
        <v>8.125</v>
      </c>
    </row>
    <row r="8" customFormat="false" ht="15" hidden="false" customHeight="true" outlineLevel="0" collapsed="false">
      <c r="A8" s="7" t="s">
        <v>134</v>
      </c>
      <c r="B8" s="28" t="n">
        <f aca="false">B6/(Assumptions!$C$14*Assumptions!$C$15/12)</f>
        <v>13.25</v>
      </c>
      <c r="C8" s="28" t="n">
        <f aca="false">C6/(Assumptions!$C$14*Assumptions!$C$15/12)</f>
        <v>16.25</v>
      </c>
    </row>
    <row r="10" customFormat="false" ht="15" hidden="false" customHeight="true" outlineLevel="0" collapsed="false">
      <c r="A10" s="17" t="s">
        <v>135</v>
      </c>
    </row>
    <row r="11" customFormat="false" ht="15" hidden="false" customHeight="true" outlineLevel="0" collapsed="false">
      <c r="A11" s="6" t="s">
        <v>136</v>
      </c>
      <c r="B11" s="6" t="s">
        <v>137</v>
      </c>
      <c r="C11" s="6" t="s">
        <v>138</v>
      </c>
      <c r="D11" s="6" t="s">
        <v>139</v>
      </c>
    </row>
    <row r="12" customFormat="false" ht="15" hidden="false" customHeight="true" outlineLevel="0" collapsed="false">
      <c r="A12" s="7" t="s">
        <v>140</v>
      </c>
      <c r="B12" s="7" t="s">
        <v>141</v>
      </c>
      <c r="C12" s="7" t="s">
        <v>142</v>
      </c>
      <c r="D12" s="9" t="s">
        <v>143</v>
      </c>
    </row>
    <row r="13" customFormat="false" ht="15" hidden="false" customHeight="true" outlineLevel="0" collapsed="false">
      <c r="A13" s="7" t="s">
        <v>144</v>
      </c>
      <c r="B13" s="7" t="s">
        <v>145</v>
      </c>
      <c r="C13" s="7" t="s">
        <v>146</v>
      </c>
      <c r="D13" s="9" t="s">
        <v>143</v>
      </c>
    </row>
    <row r="14" customFormat="false" ht="15" hidden="false" customHeight="true" outlineLevel="0" collapsed="false">
      <c r="A14" s="7" t="s">
        <v>147</v>
      </c>
      <c r="B14" s="7" t="s">
        <v>148</v>
      </c>
      <c r="C14" s="7" t="s">
        <v>149</v>
      </c>
      <c r="D14" s="9" t="s">
        <v>150</v>
      </c>
    </row>
    <row r="16" customFormat="false" ht="15" hidden="false" customHeight="true" outlineLevel="0" collapsed="false">
      <c r="A16" s="7" t="s">
        <v>151</v>
      </c>
      <c r="B16" s="13" t="n">
        <f aca="false">'Unit Economics'!B4</f>
        <v>299000</v>
      </c>
      <c r="C16" s="13" t="n">
        <f aca="false">'Unit Economics'!B4</f>
        <v>299000</v>
      </c>
      <c r="D16" s="1" t="s">
        <v>152</v>
      </c>
    </row>
    <row r="17" customFormat="false" ht="15" hidden="false" customHeight="true" outlineLevel="0" collapsed="false">
      <c r="A17" s="7" t="s">
        <v>153</v>
      </c>
      <c r="B17" s="29" t="n">
        <f aca="false">IF(B5&lt;=0,0,ROUNDUP(B16/B5,0))</f>
        <v>47</v>
      </c>
      <c r="C17" s="29" t="n">
        <f aca="false">IF(C5&lt;=0,0,ROUNDUP(C16/C5,0))</f>
        <v>58</v>
      </c>
      <c r="D17" s="9"/>
    </row>
    <row r="18" customFormat="false" ht="15" hidden="false" customHeight="true" outlineLevel="0" collapsed="false">
      <c r="A18" s="19" t="s">
        <v>154</v>
      </c>
      <c r="B18" s="30" t="n">
        <f aca="false">B17/(Assumptions!$C$13*Assumptions!$C$15/12)</f>
        <v>5.875</v>
      </c>
      <c r="C18" s="30" t="n">
        <f aca="false">C17/(Assumptions!$C$13*Assumptions!$C$15/12)</f>
        <v>7.25</v>
      </c>
    </row>
    <row r="19" customFormat="false" ht="15" hidden="false" customHeight="true" outlineLevel="0" collapsed="false">
      <c r="A19" s="7" t="s">
        <v>155</v>
      </c>
      <c r="B19" s="31" t="n">
        <f aca="false">B17/(Assumptions!$C$14*Assumptions!$C$15/12)</f>
        <v>11.75</v>
      </c>
      <c r="C19" s="31" t="n">
        <f aca="false">C17/(Assumptions!$C$14*Assumptions!$C$15/12)</f>
        <v>14.5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3" min="2" style="1" width="14"/>
    <col collapsed="false" customWidth="true" hidden="false" outlineLevel="0" max="4" min="4" style="1" width="16"/>
    <col collapsed="false" customWidth="true" hidden="false" outlineLevel="0" max="5" min="5" style="1" width="46"/>
  </cols>
  <sheetData>
    <row r="1" customFormat="false" ht="17.25" hidden="false" customHeight="true" outlineLevel="0" collapsed="false">
      <c r="A1" s="5" t="s">
        <v>156</v>
      </c>
    </row>
    <row r="3" customFormat="false" ht="15" hidden="false" customHeight="true" outlineLevel="0" collapsed="false">
      <c r="A3" s="6" t="s">
        <v>157</v>
      </c>
      <c r="B3" s="6" t="s">
        <v>158</v>
      </c>
      <c r="C3" s="6" t="s">
        <v>159</v>
      </c>
      <c r="D3" s="6" t="s">
        <v>160</v>
      </c>
      <c r="E3" s="6" t="s">
        <v>61</v>
      </c>
    </row>
    <row r="4" customFormat="false" ht="15" hidden="false" customHeight="true" outlineLevel="0" collapsed="false">
      <c r="A4" s="7" t="s">
        <v>161</v>
      </c>
      <c r="B4" s="8" t="n">
        <v>5</v>
      </c>
      <c r="C4" s="8" t="n">
        <v>5</v>
      </c>
      <c r="D4" s="7" t="s">
        <v>162</v>
      </c>
      <c r="E4" s="9" t="s">
        <v>163</v>
      </c>
    </row>
    <row r="5" customFormat="false" ht="15" hidden="false" customHeight="true" outlineLevel="0" collapsed="false">
      <c r="A5" s="7" t="s">
        <v>164</v>
      </c>
      <c r="B5" s="8" t="n">
        <v>25</v>
      </c>
      <c r="C5" s="8" t="n">
        <v>45</v>
      </c>
      <c r="D5" s="7" t="s">
        <v>165</v>
      </c>
      <c r="E5" s="9" t="s">
        <v>166</v>
      </c>
    </row>
    <row r="6" customFormat="false" ht="15" hidden="false" customHeight="true" outlineLevel="0" collapsed="false">
      <c r="A6" s="7" t="s">
        <v>167</v>
      </c>
      <c r="B6" s="8" t="n">
        <v>5</v>
      </c>
      <c r="C6" s="8" t="n">
        <v>10</v>
      </c>
      <c r="D6" s="7" t="s">
        <v>165</v>
      </c>
      <c r="E6" s="9" t="s">
        <v>168</v>
      </c>
    </row>
    <row r="7" customFormat="false" ht="15" hidden="false" customHeight="true" outlineLevel="0" collapsed="false">
      <c r="A7" s="7" t="s">
        <v>169</v>
      </c>
      <c r="B7" s="8" t="n">
        <v>2</v>
      </c>
      <c r="C7" s="8" t="n">
        <v>2</v>
      </c>
      <c r="D7" s="7" t="s">
        <v>165</v>
      </c>
      <c r="E7" s="9"/>
    </row>
    <row r="8" customFormat="false" ht="15" hidden="false" customHeight="true" outlineLevel="0" collapsed="false">
      <c r="A8" s="7" t="s">
        <v>170</v>
      </c>
      <c r="B8" s="8" t="n">
        <v>3</v>
      </c>
      <c r="C8" s="8" t="n">
        <v>5</v>
      </c>
      <c r="D8" s="7" t="s">
        <v>165</v>
      </c>
      <c r="E8" s="9" t="s">
        <v>171</v>
      </c>
    </row>
    <row r="9" customFormat="false" ht="15" hidden="false" customHeight="true" outlineLevel="0" collapsed="false">
      <c r="A9" s="7" t="s">
        <v>172</v>
      </c>
      <c r="B9" s="8" t="n">
        <v>2</v>
      </c>
      <c r="C9" s="8" t="n">
        <v>4</v>
      </c>
      <c r="D9" s="7" t="s">
        <v>165</v>
      </c>
      <c r="E9" s="9"/>
    </row>
    <row r="10" customFormat="false" ht="15" hidden="false" customHeight="true" outlineLevel="0" collapsed="false">
      <c r="A10" s="7" t="s">
        <v>173</v>
      </c>
      <c r="B10" s="8" t="n">
        <v>4</v>
      </c>
      <c r="C10" s="8" t="n">
        <v>6</v>
      </c>
      <c r="D10" s="7" t="s">
        <v>165</v>
      </c>
      <c r="E10" s="9"/>
    </row>
    <row r="11" customFormat="false" ht="15" hidden="false" customHeight="true" outlineLevel="0" collapsed="false">
      <c r="A11" s="7" t="s">
        <v>174</v>
      </c>
      <c r="B11" s="8" t="n">
        <v>5</v>
      </c>
      <c r="C11" s="8" t="n">
        <v>10</v>
      </c>
      <c r="D11" s="7" t="s">
        <v>165</v>
      </c>
      <c r="E11" s="9"/>
    </row>
    <row r="12" customFormat="false" ht="15" hidden="false" customHeight="true" outlineLevel="0" collapsed="false">
      <c r="A12" s="7" t="s">
        <v>175</v>
      </c>
      <c r="B12" s="8" t="n">
        <v>5</v>
      </c>
      <c r="C12" s="8" t="n">
        <v>10</v>
      </c>
      <c r="D12" s="7" t="s">
        <v>165</v>
      </c>
      <c r="E12" s="9"/>
    </row>
    <row r="13" customFormat="false" ht="15" hidden="false" customHeight="true" outlineLevel="0" collapsed="false">
      <c r="A13" s="7" t="s">
        <v>176</v>
      </c>
      <c r="B13" s="8" t="n">
        <v>3</v>
      </c>
      <c r="C13" s="8" t="n">
        <v>3</v>
      </c>
      <c r="D13" s="7" t="s">
        <v>165</v>
      </c>
      <c r="E13" s="9"/>
    </row>
    <row r="14" customFormat="false" ht="15" hidden="false" customHeight="true" outlineLevel="0" collapsed="false">
      <c r="A14" s="7" t="s">
        <v>177</v>
      </c>
      <c r="B14" s="8" t="n">
        <v>0</v>
      </c>
      <c r="C14" s="8" t="n">
        <v>0</v>
      </c>
      <c r="D14" s="7" t="s">
        <v>165</v>
      </c>
      <c r="E14" s="9" t="s">
        <v>178</v>
      </c>
    </row>
    <row r="15" customFormat="false" ht="15" hidden="false" customHeight="true" outlineLevel="0" collapsed="false">
      <c r="A15" s="7" t="s">
        <v>179</v>
      </c>
      <c r="B15" s="8" t="n">
        <v>7</v>
      </c>
      <c r="C15" s="8" t="n">
        <v>14</v>
      </c>
      <c r="D15" s="7" t="s">
        <v>180</v>
      </c>
      <c r="E15" s="9" t="s">
        <v>181</v>
      </c>
    </row>
    <row r="16" customFormat="false" ht="15" hidden="false" customHeight="true" outlineLevel="0" collapsed="false">
      <c r="A16" s="7" t="s">
        <v>182</v>
      </c>
      <c r="B16" s="8" t="n">
        <v>10</v>
      </c>
      <c r="C16" s="8" t="n">
        <v>12</v>
      </c>
      <c r="D16" s="7" t="s">
        <v>165</v>
      </c>
      <c r="E16" s="9" t="s">
        <v>183</v>
      </c>
    </row>
    <row r="17" customFormat="false" ht="15" hidden="false" customHeight="true" outlineLevel="0" collapsed="false">
      <c r="A17" s="7" t="s">
        <v>184</v>
      </c>
      <c r="B17" s="8" t="n">
        <v>5</v>
      </c>
      <c r="C17" s="8" t="n">
        <v>15</v>
      </c>
      <c r="D17" s="7" t="s">
        <v>185</v>
      </c>
      <c r="E17" s="9" t="s">
        <v>186</v>
      </c>
    </row>
    <row r="18" customFormat="false" ht="15" hidden="false" customHeight="true" outlineLevel="0" collapsed="false">
      <c r="A18" s="19" t="s">
        <v>187</v>
      </c>
      <c r="B18" s="32" t="n">
        <f aca="false">SUM(B4:B17)</f>
        <v>81</v>
      </c>
      <c r="C18" s="32" t="n">
        <f aca="false">SUM(C4:C17)</f>
        <v>141</v>
      </c>
    </row>
    <row r="19" customFormat="false" ht="15" hidden="false" customHeight="true" outlineLevel="0" collapsed="false">
      <c r="A19" s="7" t="s">
        <v>188</v>
      </c>
      <c r="B19" s="31" t="n">
        <f aca="false">B18/60</f>
        <v>1.35</v>
      </c>
      <c r="C19" s="31" t="n">
        <f aca="false">C18/60</f>
        <v>2.35</v>
      </c>
    </row>
    <row r="21" customFormat="false" ht="15" hidden="false" customHeight="true" outlineLevel="0" collapsed="false">
      <c r="A21" s="7" t="s">
        <v>189</v>
      </c>
      <c r="B21" s="8" t="n">
        <v>8</v>
      </c>
    </row>
    <row r="22" customFormat="false" ht="15" hidden="false" customHeight="true" outlineLevel="0" collapsed="false">
      <c r="A22" s="7" t="s">
        <v>190</v>
      </c>
      <c r="B22" s="8" t="n">
        <v>250</v>
      </c>
    </row>
    <row r="23" customFormat="false" ht="15" hidden="false" customHeight="true" outlineLevel="0" collapsed="false">
      <c r="A23" s="7" t="s">
        <v>191</v>
      </c>
      <c r="B23" s="18" t="n">
        <f aca="false">ROUNDDOWN(B21*60/C18,0)</f>
        <v>3</v>
      </c>
      <c r="C23" s="18" t="n">
        <f aca="false">ROUNDDOWN(B21*60/B18,0)</f>
        <v>5</v>
      </c>
    </row>
    <row r="24" customFormat="false" ht="15" hidden="false" customHeight="true" outlineLevel="0" collapsed="false">
      <c r="A24" s="19" t="s">
        <v>192</v>
      </c>
      <c r="B24" s="27" t="n">
        <f aca="false">B23*B22</f>
        <v>750</v>
      </c>
      <c r="C24" s="27" t="n">
        <f aca="false">C23*B22</f>
        <v>1250</v>
      </c>
    </row>
    <row r="27" customFormat="false" ht="15" hidden="false" customHeight="true" outlineLevel="0" collapsed="false">
      <c r="A27" s="17" t="s">
        <v>193</v>
      </c>
    </row>
    <row r="28" customFormat="false" ht="39" hidden="false" customHeight="true" outlineLevel="0" collapsed="false">
      <c r="A28" s="6" t="s">
        <v>194</v>
      </c>
      <c r="B28" s="6" t="s">
        <v>195</v>
      </c>
      <c r="C28" s="6" t="s">
        <v>196</v>
      </c>
      <c r="D28" s="6"/>
      <c r="E28" s="6" t="s">
        <v>197</v>
      </c>
    </row>
    <row r="29" customFormat="false" ht="15" hidden="false" customHeight="true" outlineLevel="0" collapsed="false">
      <c r="A29" s="8" t="n">
        <v>10</v>
      </c>
      <c r="B29" s="18" t="n">
        <f aca="false">ROUNDUP(A29/$B$24,0)</f>
        <v>1</v>
      </c>
      <c r="C29" s="7" t="s">
        <v>58</v>
      </c>
      <c r="E29" s="9" t="s">
        <v>198</v>
      </c>
    </row>
    <row r="30" customFormat="false" ht="15" hidden="false" customHeight="true" outlineLevel="0" collapsed="false">
      <c r="A30" s="8" t="n">
        <v>100</v>
      </c>
      <c r="B30" s="18" t="n">
        <f aca="false">ROUNDUP(A30/$B$24,0)</f>
        <v>1</v>
      </c>
      <c r="C30" s="7" t="s">
        <v>58</v>
      </c>
      <c r="E30" s="9" t="s">
        <v>199</v>
      </c>
    </row>
    <row r="31" customFormat="false" ht="15" hidden="false" customHeight="true" outlineLevel="0" collapsed="false">
      <c r="A31" s="8" t="n">
        <v>1000</v>
      </c>
      <c r="B31" s="18" t="n">
        <f aca="false">ROUNDUP(A31/$B$24,0)</f>
        <v>2</v>
      </c>
      <c r="C31" s="7" t="s">
        <v>200</v>
      </c>
      <c r="E31" s="9" t="s">
        <v>201</v>
      </c>
    </row>
    <row r="32" customFormat="false" ht="15" hidden="false" customHeight="true" outlineLevel="0" collapsed="false">
      <c r="A32" s="8" t="n">
        <v>10000</v>
      </c>
      <c r="B32" s="18" t="n">
        <f aca="false">ROUNDUP(A32/$B$24,0)</f>
        <v>14</v>
      </c>
      <c r="C32" s="7" t="s">
        <v>202</v>
      </c>
      <c r="E32" s="9" t="s">
        <v>203</v>
      </c>
    </row>
    <row r="33" customFormat="false" ht="15" hidden="false" customHeight="true" outlineLevel="0" collapsed="false">
      <c r="A33" s="8" t="n">
        <v>100000</v>
      </c>
      <c r="B33" s="18" t="n">
        <f aca="false">ROUNDUP(A33/$B$24,0)</f>
        <v>134</v>
      </c>
      <c r="C33" s="7" t="s">
        <v>202</v>
      </c>
      <c r="E33" s="9" t="s">
        <v>204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60"/>
    <col collapsed="false" customWidth="true" hidden="false" outlineLevel="0" max="2" min="2" style="1" width="18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17.25" hidden="false" customHeight="true" outlineLevel="0" collapsed="false">
      <c r="A1" s="5" t="s">
        <v>205</v>
      </c>
    </row>
    <row r="3" customFormat="false" ht="15" hidden="false" customHeight="true" outlineLevel="0" collapsed="false">
      <c r="A3" s="6" t="s">
        <v>57</v>
      </c>
      <c r="B3" s="6" t="s">
        <v>26</v>
      </c>
      <c r="C3" s="6" t="s">
        <v>206</v>
      </c>
      <c r="D3" s="6" t="s">
        <v>84</v>
      </c>
    </row>
    <row r="4" customFormat="false" ht="15" hidden="false" customHeight="true" outlineLevel="0" collapsed="false">
      <c r="A4" s="7" t="s">
        <v>207</v>
      </c>
      <c r="B4" s="10" t="n">
        <v>373418</v>
      </c>
      <c r="C4" s="15" t="n">
        <f aca="false">B4/$B$12</f>
        <v>0.248945333333333</v>
      </c>
      <c r="D4" s="9" t="s">
        <v>208</v>
      </c>
    </row>
    <row r="5" customFormat="false" ht="15" hidden="false" customHeight="true" outlineLevel="0" collapsed="false">
      <c r="A5" s="7" t="s">
        <v>209</v>
      </c>
      <c r="B5" s="10" t="n">
        <v>100000</v>
      </c>
      <c r="C5" s="15" t="n">
        <f aca="false">B5/$B$12</f>
        <v>0.0666666666666667</v>
      </c>
      <c r="D5" s="9" t="s">
        <v>210</v>
      </c>
    </row>
    <row r="6" customFormat="false" ht="15" hidden="false" customHeight="true" outlineLevel="0" collapsed="false">
      <c r="A6" s="7" t="s">
        <v>211</v>
      </c>
      <c r="B6" s="10" t="n">
        <v>60000</v>
      </c>
      <c r="C6" s="15" t="n">
        <f aca="false">B6/$B$12</f>
        <v>0.04</v>
      </c>
      <c r="D6" s="9" t="s">
        <v>212</v>
      </c>
    </row>
    <row r="7" customFormat="false" ht="15" hidden="false" customHeight="true" outlineLevel="0" collapsed="false">
      <c r="A7" s="7" t="s">
        <v>213</v>
      </c>
      <c r="B7" s="10" t="n">
        <v>450000</v>
      </c>
      <c r="C7" s="15" t="n">
        <f aca="false">B7/$B$12</f>
        <v>0.3</v>
      </c>
      <c r="D7" s="9" t="s">
        <v>214</v>
      </c>
    </row>
    <row r="8" customFormat="false" ht="15" hidden="false" customHeight="true" outlineLevel="0" collapsed="false">
      <c r="A8" s="7" t="s">
        <v>215</v>
      </c>
      <c r="B8" s="10" t="n">
        <v>135000</v>
      </c>
      <c r="C8" s="15" t="n">
        <f aca="false">B8/$B$12</f>
        <v>0.09</v>
      </c>
      <c r="D8" s="9" t="s">
        <v>216</v>
      </c>
    </row>
    <row r="9" customFormat="false" ht="15" hidden="false" customHeight="true" outlineLevel="0" collapsed="false">
      <c r="A9" s="7" t="s">
        <v>217</v>
      </c>
      <c r="B9" s="10" t="n">
        <v>100000</v>
      </c>
      <c r="C9" s="15" t="n">
        <f aca="false">B9/$B$12</f>
        <v>0.0666666666666667</v>
      </c>
      <c r="D9" s="9" t="s">
        <v>218</v>
      </c>
    </row>
    <row r="10" customFormat="false" ht="15" hidden="false" customHeight="true" outlineLevel="0" collapsed="false">
      <c r="A10" s="7" t="s">
        <v>219</v>
      </c>
      <c r="B10" s="10" t="n">
        <v>50000</v>
      </c>
      <c r="C10" s="15" t="n">
        <f aca="false">B10/$B$12</f>
        <v>0.0333333333333333</v>
      </c>
      <c r="D10" s="9" t="s">
        <v>220</v>
      </c>
    </row>
    <row r="11" customFormat="false" ht="15" hidden="false" customHeight="true" outlineLevel="0" collapsed="false">
      <c r="A11" s="7" t="s">
        <v>221</v>
      </c>
      <c r="B11" s="10" t="n">
        <v>231582</v>
      </c>
      <c r="C11" s="15" t="n">
        <f aca="false">B11/$B$12</f>
        <v>0.154388</v>
      </c>
      <c r="D11" s="9" t="s">
        <v>222</v>
      </c>
    </row>
    <row r="12" customFormat="false" ht="15" hidden="false" customHeight="true" outlineLevel="0" collapsed="false">
      <c r="A12" s="19" t="s">
        <v>79</v>
      </c>
      <c r="B12" s="20" t="n">
        <f aca="false">SUM(B4:B11)</f>
        <v>1500000</v>
      </c>
      <c r="C12" s="33" t="n">
        <f aca="false">SUM(C4:C11)</f>
        <v>1</v>
      </c>
    </row>
    <row r="13" customFormat="false" ht="15" hidden="false" customHeight="true" outlineLevel="0" collapsed="false">
      <c r="A13" s="34" t="s">
        <v>223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4"/>
    <col collapsed="false" customWidth="true" hidden="false" outlineLevel="0" max="5" min="3" style="1" width="16"/>
    <col collapsed="false" customWidth="true" hidden="false" outlineLevel="0" max="6" min="6" style="1" width="44"/>
    <col collapsed="false" customWidth="true" hidden="false" outlineLevel="0" max="7" min="7" style="1" width="46"/>
  </cols>
  <sheetData>
    <row r="1" customFormat="false" ht="17.25" hidden="false" customHeight="true" outlineLevel="0" collapsed="false">
      <c r="A1" s="5" t="s">
        <v>224</v>
      </c>
    </row>
    <row r="3" customFormat="false" ht="15" hidden="false" customHeight="true" outlineLevel="0" collapsed="false">
      <c r="A3" s="6" t="s">
        <v>225</v>
      </c>
      <c r="B3" s="6" t="s">
        <v>226</v>
      </c>
      <c r="C3" s="6" t="s">
        <v>227</v>
      </c>
      <c r="D3" s="6" t="s">
        <v>228</v>
      </c>
      <c r="E3" s="6" t="s">
        <v>229</v>
      </c>
      <c r="F3" s="6" t="s">
        <v>230</v>
      </c>
      <c r="G3" s="6" t="s">
        <v>139</v>
      </c>
    </row>
    <row r="4" customFormat="false" ht="15" hidden="false" customHeight="true" outlineLevel="0" collapsed="false">
      <c r="A4" s="7" t="s">
        <v>231</v>
      </c>
      <c r="B4" s="7" t="s">
        <v>232</v>
      </c>
      <c r="C4" s="35" t="n">
        <v>96000</v>
      </c>
      <c r="D4" s="35" t="n">
        <v>96000</v>
      </c>
      <c r="E4" s="14" t="n">
        <f aca="false">IF(ISNUMBER(C4),C4*Assumptions!$C$4,"n/a")</f>
        <v>8448000</v>
      </c>
      <c r="F4" s="9" t="s">
        <v>233</v>
      </c>
      <c r="G4" s="9" t="s">
        <v>234</v>
      </c>
    </row>
    <row r="5" customFormat="false" ht="15" hidden="false" customHeight="true" outlineLevel="0" collapsed="false">
      <c r="A5" s="7" t="s">
        <v>235</v>
      </c>
      <c r="B5" s="7" t="s">
        <v>236</v>
      </c>
      <c r="C5" s="35" t="n">
        <v>45974</v>
      </c>
      <c r="D5" s="35" t="n">
        <v>45974</v>
      </c>
      <c r="E5" s="14" t="n">
        <f aca="false">IF(ISNUMBER(C5),C5*Assumptions!$C$4,"n/a")</f>
        <v>4045712</v>
      </c>
      <c r="F5" s="9" t="s">
        <v>237</v>
      </c>
      <c r="G5" s="9" t="s">
        <v>238</v>
      </c>
    </row>
    <row r="6" customFormat="false" ht="15" hidden="false" customHeight="true" outlineLevel="0" collapsed="false">
      <c r="A6" s="7" t="s">
        <v>239</v>
      </c>
      <c r="B6" s="7" t="s">
        <v>240</v>
      </c>
      <c r="C6" s="35" t="n">
        <v>5499</v>
      </c>
      <c r="D6" s="35" t="n">
        <v>5499</v>
      </c>
      <c r="E6" s="14" t="n">
        <f aca="false">IF(ISNUMBER(C6),C6*Assumptions!$C$4,"n/a")</f>
        <v>483912</v>
      </c>
      <c r="F6" s="9" t="s">
        <v>241</v>
      </c>
      <c r="G6" s="9" t="s">
        <v>242</v>
      </c>
    </row>
    <row r="7" customFormat="false" ht="15" hidden="false" customHeight="true" outlineLevel="0" collapsed="false">
      <c r="A7" s="7" t="s">
        <v>243</v>
      </c>
      <c r="B7" s="7" t="s">
        <v>240</v>
      </c>
      <c r="C7" s="35" t="n">
        <v>2499</v>
      </c>
      <c r="D7" s="35" t="n">
        <v>2499</v>
      </c>
      <c r="E7" s="14" t="n">
        <f aca="false">IF(ISNUMBER(C7),C7*Assumptions!$C$4,"n/a")</f>
        <v>219912</v>
      </c>
      <c r="F7" s="9" t="s">
        <v>244</v>
      </c>
      <c r="G7" s="9" t="s">
        <v>245</v>
      </c>
    </row>
    <row r="8" customFormat="false" ht="15" hidden="false" customHeight="true" outlineLevel="0" collapsed="false">
      <c r="A8" s="7" t="s">
        <v>246</v>
      </c>
      <c r="B8" s="7" t="s">
        <v>247</v>
      </c>
      <c r="C8" s="35" t="n">
        <v>3199</v>
      </c>
      <c r="D8" s="35" t="n">
        <v>4499</v>
      </c>
      <c r="E8" s="14" t="n">
        <f aca="false">IF(ISNUMBER(C8),C8*Assumptions!$C$4,"n/a")</f>
        <v>281512</v>
      </c>
      <c r="F8" s="9" t="s">
        <v>248</v>
      </c>
      <c r="G8" s="9" t="s">
        <v>249</v>
      </c>
    </row>
    <row r="9" customFormat="false" ht="15" hidden="false" customHeight="true" outlineLevel="0" collapsed="false">
      <c r="A9" s="7" t="s">
        <v>250</v>
      </c>
      <c r="B9" s="7" t="s">
        <v>251</v>
      </c>
      <c r="C9" s="35" t="s">
        <v>252</v>
      </c>
      <c r="D9" s="35" t="s">
        <v>252</v>
      </c>
      <c r="E9" s="14" t="str">
        <f aca="false">IF(ISNUMBER(C9),C9*Assumptions!$C$4,"n/a")</f>
        <v>n/a</v>
      </c>
      <c r="F9" s="9" t="s">
        <v>253</v>
      </c>
      <c r="G9" s="9" t="s">
        <v>254</v>
      </c>
    </row>
    <row r="10" customFormat="false" ht="15" hidden="false" customHeight="true" outlineLevel="0" collapsed="false">
      <c r="A10" s="7" t="s">
        <v>255</v>
      </c>
      <c r="B10" s="7" t="s">
        <v>256</v>
      </c>
      <c r="C10" s="35" t="n">
        <v>3000</v>
      </c>
      <c r="D10" s="35" t="n">
        <v>3000</v>
      </c>
      <c r="E10" s="14" t="n">
        <f aca="false">IF(ISNUMBER(C10),C10*Assumptions!$C$4,"n/a")</f>
        <v>264000</v>
      </c>
      <c r="F10" s="9" t="s">
        <v>257</v>
      </c>
      <c r="G10" s="9" t="s">
        <v>258</v>
      </c>
    </row>
    <row r="11" customFormat="false" ht="15" hidden="false" customHeight="true" outlineLevel="0" collapsed="false">
      <c r="A11" s="7" t="s">
        <v>259</v>
      </c>
      <c r="B11" s="7" t="s">
        <v>260</v>
      </c>
      <c r="C11" s="35" t="n">
        <v>389</v>
      </c>
      <c r="D11" s="35" t="n">
        <v>389</v>
      </c>
      <c r="E11" s="14" t="n">
        <f aca="false">IF(ISNUMBER(C11),C11*Assumptions!$C$4,"n/a")</f>
        <v>34232</v>
      </c>
      <c r="F11" s="9" t="s">
        <v>261</v>
      </c>
      <c r="G11" s="9" t="s">
        <v>262</v>
      </c>
    </row>
    <row r="12" customFormat="false" ht="15" hidden="false" customHeight="true" outlineLevel="0" collapsed="false">
      <c r="A12" s="7" t="s">
        <v>263</v>
      </c>
      <c r="B12" s="7" t="s">
        <v>260</v>
      </c>
      <c r="C12" s="35" t="n">
        <v>237</v>
      </c>
      <c r="D12" s="35" t="n">
        <v>262</v>
      </c>
      <c r="E12" s="14" t="n">
        <f aca="false">IF(ISNUMBER(C12),C12*Assumptions!$C$4,"n/a")</f>
        <v>20856</v>
      </c>
      <c r="F12" s="9" t="s">
        <v>264</v>
      </c>
      <c r="G12" s="9" t="s">
        <v>265</v>
      </c>
    </row>
    <row r="13" customFormat="false" ht="15" hidden="false" customHeight="true" outlineLevel="0" collapsed="false">
      <c r="A13" s="7" t="s">
        <v>266</v>
      </c>
      <c r="B13" s="7" t="s">
        <v>260</v>
      </c>
      <c r="C13" s="35" t="n">
        <v>599</v>
      </c>
      <c r="D13" s="35" t="n">
        <v>799</v>
      </c>
      <c r="E13" s="14" t="n">
        <f aca="false">IF(ISNUMBER(C13),C13*Assumptions!$C$4,"n/a")</f>
        <v>52712</v>
      </c>
      <c r="F13" s="9" t="s">
        <v>264</v>
      </c>
      <c r="G13" s="9" t="s">
        <v>267</v>
      </c>
    </row>
    <row r="14" customFormat="false" ht="15" hidden="false" customHeight="true" outlineLevel="0" collapsed="false">
      <c r="A14" s="7" t="s">
        <v>268</v>
      </c>
      <c r="B14" s="7" t="s">
        <v>269</v>
      </c>
      <c r="C14" s="35" t="n">
        <v>490</v>
      </c>
      <c r="D14" s="35" t="n">
        <v>716</v>
      </c>
      <c r="E14" s="14" t="n">
        <f aca="false">IF(ISNUMBER(C14),C14*Assumptions!$C$4,"n/a")</f>
        <v>43120</v>
      </c>
      <c r="F14" s="9" t="s">
        <v>264</v>
      </c>
      <c r="G14" s="9" t="s">
        <v>270</v>
      </c>
    </row>
    <row r="15" customFormat="false" ht="15" hidden="false" customHeight="true" outlineLevel="0" collapsed="false">
      <c r="A15" s="7" t="s">
        <v>271</v>
      </c>
      <c r="B15" s="7" t="s">
        <v>272</v>
      </c>
      <c r="C15" s="35" t="n">
        <v>499</v>
      </c>
      <c r="D15" s="35" t="n">
        <v>1499</v>
      </c>
      <c r="E15" s="14" t="n">
        <f aca="false">IF(ISNUMBER(C15),C15*Assumptions!$C$4,"n/a")</f>
        <v>43912</v>
      </c>
      <c r="F15" s="9" t="s">
        <v>273</v>
      </c>
      <c r="G15" s="9" t="s">
        <v>274</v>
      </c>
    </row>
    <row r="16" customFormat="false" ht="15" hidden="false" customHeight="true" outlineLevel="0" collapsed="false">
      <c r="A16" s="7" t="s">
        <v>275</v>
      </c>
      <c r="B16" s="7" t="s">
        <v>276</v>
      </c>
      <c r="C16" s="35" t="n">
        <v>492</v>
      </c>
      <c r="D16" s="35" t="n">
        <v>579</v>
      </c>
      <c r="E16" s="14" t="n">
        <f aca="false">IF(ISNUMBER(C16),C16*Assumptions!$C$4,"n/a")</f>
        <v>43296</v>
      </c>
      <c r="F16" s="9" t="s">
        <v>277</v>
      </c>
      <c r="G16" s="9" t="s">
        <v>278</v>
      </c>
    </row>
    <row r="17" customFormat="false" ht="15" hidden="false" customHeight="true" outlineLevel="0" collapsed="false">
      <c r="A17" s="7" t="s">
        <v>279</v>
      </c>
      <c r="B17" s="7" t="s">
        <v>280</v>
      </c>
      <c r="C17" s="35" t="n">
        <v>15</v>
      </c>
      <c r="D17" s="35" t="n">
        <v>49</v>
      </c>
      <c r="E17" s="14" t="n">
        <f aca="false">IF(ISNUMBER(C17),C17*Assumptions!$C$4,"n/a")</f>
        <v>1320</v>
      </c>
      <c r="F17" s="9" t="s">
        <v>281</v>
      </c>
      <c r="G17" s="9" t="s">
        <v>282</v>
      </c>
    </row>
    <row r="19" customFormat="false" ht="15" hidden="false" customHeight="true" outlineLevel="0" collapsed="false">
      <c r="A19" s="19" t="s">
        <v>283</v>
      </c>
      <c r="B19" s="7" t="s">
        <v>284</v>
      </c>
      <c r="E19" s="36" t="n">
        <f aca="false">'Unit Economics'!D4</f>
        <v>333999</v>
      </c>
      <c r="F19" s="9" t="s">
        <v>285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3" min="2" style="1" width="18"/>
    <col collapsed="false" customWidth="true" hidden="false" outlineLevel="0" max="4" min="4" style="1" width="48"/>
  </cols>
  <sheetData>
    <row r="1" customFormat="false" ht="17.25" hidden="false" customHeight="true" outlineLevel="0" collapsed="false">
      <c r="A1" s="5" t="s">
        <v>286</v>
      </c>
    </row>
    <row r="3" customFormat="false" ht="15" hidden="false" customHeight="true" outlineLevel="0" collapsed="false">
      <c r="A3" s="6" t="s">
        <v>287</v>
      </c>
      <c r="B3" s="6" t="s">
        <v>288</v>
      </c>
      <c r="C3" s="6" t="s">
        <v>289</v>
      </c>
      <c r="D3" s="6" t="s">
        <v>290</v>
      </c>
    </row>
    <row r="4" customFormat="false" ht="15" hidden="false" customHeight="true" outlineLevel="0" collapsed="false">
      <c r="A4" s="7" t="s">
        <v>291</v>
      </c>
      <c r="B4" s="8" t="n">
        <v>5868</v>
      </c>
      <c r="C4" s="14" t="n">
        <f aca="false">B4*'Unit Economics'!$D$4</f>
        <v>1959906132</v>
      </c>
      <c r="D4" s="9" t="s">
        <v>292</v>
      </c>
    </row>
    <row r="5" customFormat="false" ht="15" hidden="false" customHeight="true" outlineLevel="0" collapsed="false">
      <c r="A5" s="7" t="s">
        <v>293</v>
      </c>
      <c r="B5" s="18" t="n">
        <f aca="false">ROUND(225000*B8,0)</f>
        <v>2250</v>
      </c>
      <c r="C5" s="14" t="n">
        <f aca="false">B5*'Unit Economics'!$D$4</f>
        <v>751497750</v>
      </c>
      <c r="D5" s="9" t="s">
        <v>294</v>
      </c>
    </row>
    <row r="6" customFormat="false" ht="15" hidden="false" customHeight="true" outlineLevel="0" collapsed="false">
      <c r="A6" s="19" t="s">
        <v>295</v>
      </c>
      <c r="B6" s="32" t="n">
        <f aca="false">B4+B5</f>
        <v>8118</v>
      </c>
      <c r="C6" s="26" t="n">
        <f aca="false">C4+C5</f>
        <v>2711403882</v>
      </c>
    </row>
    <row r="7" customFormat="false" ht="15" hidden="false" customHeight="false" outlineLevel="0" collapsed="false">
      <c r="A7" s="37" t="s">
        <v>296</v>
      </c>
      <c r="C7" s="38" t="n">
        <f aca="false">B6*'Unit Economics'!$B$4</f>
        <v>2427282000</v>
      </c>
    </row>
    <row r="8" customFormat="false" ht="15" hidden="false" customHeight="true" outlineLevel="0" collapsed="false">
      <c r="A8" s="7" t="s">
        <v>297</v>
      </c>
      <c r="B8" s="39" t="n">
        <v>0.01</v>
      </c>
    </row>
    <row r="9" customFormat="false" ht="15" hidden="false" customHeight="true" outlineLevel="0" collapsed="false">
      <c r="A9" s="7" t="s">
        <v>298</v>
      </c>
      <c r="C9" s="14" t="n">
        <f aca="false">B6*Assumptions!C11</f>
        <v>81171882</v>
      </c>
    </row>
    <row r="11" customFormat="false" ht="15" hidden="false" customHeight="true" outlineLevel="0" collapsed="false">
      <c r="A11" s="17" t="s">
        <v>299</v>
      </c>
    </row>
    <row r="12" customFormat="false" ht="15" hidden="false" customHeight="true" outlineLevel="0" collapsed="false">
      <c r="A12" s="7" t="s">
        <v>300</v>
      </c>
      <c r="B12" s="8" t="n">
        <v>10000</v>
      </c>
      <c r="D12" s="9" t="s">
        <v>301</v>
      </c>
    </row>
    <row r="13" customFormat="false" ht="15" hidden="false" customHeight="true" outlineLevel="0" collapsed="false">
      <c r="A13" s="7" t="s">
        <v>302</v>
      </c>
      <c r="B13" s="8" t="n">
        <v>50000</v>
      </c>
      <c r="D13" s="9" t="s">
        <v>303</v>
      </c>
    </row>
    <row r="14" customFormat="false" ht="15" hidden="false" customHeight="true" outlineLevel="0" collapsed="false">
      <c r="A14" s="7" t="s">
        <v>304</v>
      </c>
      <c r="B14" s="10" t="n">
        <v>2000000</v>
      </c>
      <c r="D14" s="9" t="s">
        <v>305</v>
      </c>
    </row>
    <row r="15" customFormat="false" ht="15" hidden="false" customHeight="true" outlineLevel="0" collapsed="false">
      <c r="A15" s="7" t="s">
        <v>306</v>
      </c>
      <c r="B15" s="8" t="n">
        <v>2320000</v>
      </c>
      <c r="D15" s="9" t="s">
        <v>307</v>
      </c>
    </row>
    <row r="16" customFormat="false" ht="15" hidden="false" customHeight="true" outlineLevel="0" collapsed="false">
      <c r="A16" s="7" t="s">
        <v>308</v>
      </c>
      <c r="B16" s="8" t="n">
        <v>400</v>
      </c>
      <c r="D16" s="9" t="s">
        <v>309</v>
      </c>
    </row>
    <row r="17" customFormat="false" ht="15" hidden="false" customHeight="true" outlineLevel="0" collapsed="false">
      <c r="A17" s="7" t="s">
        <v>310</v>
      </c>
      <c r="B17" s="8" t="n">
        <v>2300</v>
      </c>
      <c r="D17" s="9" t="s">
        <v>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2026-09-30T12:44:53Z</dcterms:created>
  <dc:creator>openpyxl</dc:creator>
  <dc:description/>
  <dc:language>en-US</dc:language>
  <cp:lastModifiedBy/>
  <dcterms:modified xsi:type="dcterms:W3CDTF">2026-10-02T15:07:51Z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