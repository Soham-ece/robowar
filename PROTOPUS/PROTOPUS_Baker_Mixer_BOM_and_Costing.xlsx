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oC Budget" sheetId="2" state="visible" r:id="rId4"/>
    <sheet name="Baker BOM" sheetId="3" state="visible" r:id="rId5"/>
    <sheet name="Baker Cost Breakup" sheetId="4" state="visible" r:id="rId6"/>
    <sheet name="Baker Production (CN)" sheetId="5" state="visible" r:id="rId7"/>
    <sheet name="Baker Final Cost" sheetId="6" state="visible" r:id="rId8"/>
    <sheet name="Mixer BOM" sheetId="7" state="visible" r:id="rId9"/>
    <sheet name="Mixer Cost Breakup" sheetId="8" state="visible" r:id="rId10"/>
    <sheet name="Mixer Production (CN)" sheetId="9" state="visible" r:id="rId11"/>
    <sheet name="Mixer Final Cost" sheetId="10" state="visible" r:id="rId12"/>
    <sheet name="Inputs" sheetId="11" state="visible" r:id="rId13"/>
  </sheets>
  <definedNames>
    <definedName function="false" hidden="true" localSheetId="2" name="_xlnm._FilterDatabase" vbProcedure="false">'Baker BOM'!$A$4:$L$74</definedName>
    <definedName function="false" hidden="true" localSheetId="4" name="_xlnm._FilterDatabase" vbProcedure="false">'Baker Production (CN)'!$A$4:$L$23</definedName>
    <definedName function="false" hidden="true" localSheetId="6" name="_xlnm._FilterDatabase" vbProcedure="false">'Mixer BOM'!$A$4:$L$30</definedName>
    <definedName function="false" hidden="true" localSheetId="8" name="_xlnm._FilterDatabase" vbProcedure="false">'Mixer Production (CN)'!$A$4:$L$16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<sst xmlns="http://schemas.openxmlformats.org/spreadsheetml/2006/main" count="1158" uniqueCount="436">
  <si>
    <t xml:space="preserve">PROTOPUS — Baker + Mixer: BOM, cost breakup and final cost</t>
  </si>
  <si>
    <t xml:space="preserve">PROTOPUS, Delhi · 29 Sep 2026 · All figures are live formulas; edit the blue cells on the Inputs sheet.</t>
  </si>
  <si>
    <t xml:space="preserve">Prototype (India)</t>
  </si>
  <si>
    <t xml:space="preserve">Production unit (China parts)</t>
  </si>
  <si>
    <t xml:space="preserve">Deck hardware target</t>
  </si>
  <si>
    <t xml:space="preserve">Headroom vs target</t>
  </si>
  <si>
    <t xml:space="preserve">Prototype → production saving</t>
  </si>
  <si>
    <t xml:space="preserve">Baker</t>
  </si>
  <si>
    <t xml:space="preserve">Mixer</t>
  </si>
  <si>
    <t xml:space="preserve">Both</t>
  </si>
  <si>
    <t xml:space="preserve">Where the prototype money goes</t>
  </si>
  <si>
    <t xml:space="preserve">Baker section</t>
  </si>
  <si>
    <t xml:space="preserve">All-in ₹</t>
  </si>
  <si>
    <t xml:space="preserve">% of Baker</t>
  </si>
  <si>
    <t xml:space="preserve">Mixer section</t>
  </si>
  <si>
    <t xml:space="preserve">% of Mixer</t>
  </si>
  <si>
    <t xml:space="preserve">Notes and open items</t>
  </si>
  <si>
    <t xml:space="preserve">1. Numbers reconcile with PROTOPUS Cost Report (29 Sep 2026): Baker ₹3,73,418 / Mixer ₹74,847 prototype; ₹1,44,842 / ₹13,740 production.</t>
  </si>
  <si>
    <t xml:space="preserve">2. Production unit figures carry no contingency in the source report. The "risk-adjusted" line on each Final Cost sheet adds an optional allowance (Inputs).</t>
  </si>
  <si>
    <t xml:space="preserve">3. Production cost assumes China parts + assembly/QC in Delhi. A China turnkey (fully assembled) quote must be compared on landed-Delhi cost; see the China plan PDF.</t>
  </si>
  <si>
    <t xml:space="preserve">4. Board size mismatch to freeze before tooling: workflow story says 100 × 160 mm, BOM buys 100 × 150 mm FR4.</t>
  </si>
  <si>
    <t xml:space="preserve">5. The 10.1-inch 405 nm UV light board (Baker prototype) is an estimate: its AliExpress price could not be read.</t>
  </si>
  <si>
    <t xml:space="preserve">6. Spindle and laser are retail prices; factory quotes at 100 units should be lower. Confirm duty and freight with a customs broker before ordering.</t>
  </si>
  <si>
    <t xml:space="preserve">7. Jig printing on Baker’s own UV engine (production) replaces the separate resin printer and is flagged for testing.</t>
  </si>
  <si>
    <t xml:space="preserve">PROTOPUS — proof-of-concept budget (the ask)</t>
  </si>
  <si>
    <t xml:space="preserve">Blue = inputs you can change. The total rounds to the nearest lakh; the reserve is whatever the rounding leaves. Hardware lines link to the cost sheets.</t>
  </si>
  <si>
    <t xml:space="preserve">Inputs</t>
  </si>
  <si>
    <t xml:space="preserve">Input</t>
  </si>
  <si>
    <t xml:space="preserve">Value</t>
  </si>
  <si>
    <t xml:space="preserve">Note</t>
  </si>
  <si>
    <t xml:space="preserve">Runway (months)</t>
  </si>
  <si>
    <t xml:space="preserve">6 months to proof of concept (deck timeline) + 3 months to close the next round</t>
  </si>
  <si>
    <t xml:space="preserve">Engineers (software + firmware)</t>
  </si>
  <si>
    <t xml:space="preserve">One software engineer who also writes the firmware; the founder covers mechanical and electronics</t>
  </si>
  <si>
    <t xml:space="preserve">Cost per engineer per month</t>
  </si>
  <si>
    <t xml:space="preserve">ASSUMPTION: software + firmware in one person, Delhi; ₹40,000 would lower the ask to ₹15L. The ₹10L ask assumed ₹25,000</t>
  </si>
  <si>
    <t xml:space="preserve">Founder stipend per month</t>
  </si>
  <si>
    <t xml:space="preserve">Deducted: the founder takes no stipend during the proof of concept</t>
  </si>
  <si>
    <t xml:space="preserve">Proto software + compute per month</t>
  </si>
  <si>
    <t xml:space="preserve">ASSUMPTION: LLM API usage + hosting; the ₹10L ask had ₹1,00,000 over 6 months</t>
  </si>
  <si>
    <t xml:space="preserve">Reserve on lines without built-in contingency</t>
  </si>
  <si>
    <t xml:space="preserve">Hardware builds already carry 15% contingency, so the reserve applies to the other lines only</t>
  </si>
  <si>
    <t xml:space="preserve">Budget lines</t>
  </si>
  <si>
    <t xml:space="preserve">Line</t>
  </si>
  <si>
    <t xml:space="preserve">Amount ₹</t>
  </si>
  <si>
    <t xml:space="preserve">Group</t>
  </si>
  <si>
    <t xml:space="preserve">Basis</t>
  </si>
  <si>
    <t xml:space="preserve">Has own contingency?</t>
  </si>
  <si>
    <t xml:space="preserve">Baker prototype build</t>
  </si>
  <si>
    <t xml:space="preserve">Hardware</t>
  </si>
  <si>
    <t xml:space="preserve">Costed BOM, 70 lines, incl. duty + 15% contingency</t>
  </si>
  <si>
    <t xml:space="preserve">Y</t>
  </si>
  <si>
    <t xml:space="preserve">Mixer prototype build</t>
  </si>
  <si>
    <t xml:space="preserve">Costed BOM, 26 lines, incl. duty + 15% contingency</t>
  </si>
  <si>
    <t xml:space="preserve">Baker Rev B iteration (heads, fixture, film module, wiring)</t>
  </si>
  <si>
    <t xml:space="preserve">Iteration + PoC build-out</t>
  </si>
  <si>
    <t xml:space="preserve">ASSUMPTION ≈ 32% of Baker parts: one partial rebuild after the 4 open process points are tested</t>
  </si>
  <si>
    <t xml:space="preserve">N</t>
  </si>
  <si>
    <t xml:space="preserve">Mixer production board Rev A, 5 units (8-bit design)</t>
  </si>
  <si>
    <t xml:space="preserve">ASSUMPTION: 5 × ~₹9,900 parts (cost report) + small-batch PCBA, stencil, courier. Units double as maker-studio demo units</t>
  </si>
  <si>
    <t xml:space="preserve">PoC consumables (~150 test boards)</t>
  </si>
  <si>
    <t xml:space="preserve">ASSUMPTION: FR4 ₹99/board (BOM), bits/drills, TR300 resin, mask, paste, demo components</t>
  </si>
  <si>
    <t xml:space="preserve">Engineers</t>
  </si>
  <si>
    <t xml:space="preserve">People</t>
  </si>
  <si>
    <t xml:space="preserve">Engineers × monthly cost × runway</t>
  </si>
  <si>
    <t xml:space="preserve">Founder stipend</t>
  </si>
  <si>
    <t xml:space="preserve">Stipend × runway</t>
  </si>
  <si>
    <t xml:space="preserve">Proto software + compute</t>
  </si>
  <si>
    <t xml:space="preserve">Software</t>
  </si>
  <si>
    <t xml:space="preserve">Monthly × runway</t>
  </si>
  <si>
    <t xml:space="preserve">Testing + tooling</t>
  </si>
  <si>
    <t xml:space="preserve">Lab + tooling</t>
  </si>
  <si>
    <t xml:space="preserve">From the ₹10L ask: reference instruments, laser power meter, dial indicator, hand tools</t>
  </si>
  <si>
    <t xml:space="preserve">Lab set-up + safety</t>
  </si>
  <si>
    <t xml:space="preserve">ASSUMPTION: ESD benches, fume extraction, fire safety, storage (university lab, no rent)</t>
  </si>
  <si>
    <t xml:space="preserve">IP + legal</t>
  </si>
  <si>
    <t xml:space="preserve">IP, outreach + reserve</t>
  </si>
  <si>
    <t xml:space="preserve">ASSUMPTION: trademark filings, provisional patent drafting, founder/employee agreements</t>
  </si>
  <si>
    <t xml:space="preserve">Demos, travel, maker-studio outreach</t>
  </si>
  <si>
    <t xml:space="preserve">ASSUMPTION: studio visits, demo videos, events</t>
  </si>
  <si>
    <t xml:space="preserve">Subtotal</t>
  </si>
  <si>
    <t xml:space="preserve">Lines without built-in contingency</t>
  </si>
  <si>
    <t xml:space="preserve">THE ASK (rounded to nearest lakh)</t>
  </si>
  <si>
    <t xml:space="preserve">Reserve (ask − subtotal)</t>
  </si>
  <si>
    <t xml:space="preserve">Reserve as % of lines without built-in contingency</t>
  </si>
  <si>
    <t xml:space="preserve">By group (for the ask slide)</t>
  </si>
  <si>
    <t xml:space="preserve">% of ask</t>
  </si>
  <si>
    <t xml:space="preserve">Check: groups = ask</t>
  </si>
  <si>
    <t xml:space="preserve">Finding the sweet point: three ways to fund the proof of concept</t>
  </si>
  <si>
    <t xml:space="preserve">Option</t>
  </si>
  <si>
    <t xml:space="preserve">Ask ₹</t>
  </si>
  <si>
    <t xml:space="preserve">Runway</t>
  </si>
  <si>
    <t xml:space="preserve">What it buys / why not</t>
  </si>
  <si>
    <t xml:space="preserve">Lean (the old ask)</t>
  </si>
  <si>
    <t xml:space="preserve">6 months</t>
  </si>
  <si>
    <t xml:space="preserve">One build, engineers at ₹25,000/month, no iteration money, no reserve. Runway ends exactly at PoC: no time to raise, and one failed process point stops the project.</t>
  </si>
  <si>
    <t xml:space="preserve">Comfortable (recommended)</t>
  </si>
  <si>
    <t xml:space="preserve">Build, fix, prove, raise: market salaries, Baker Rev B, 5 production Mixer boards as studio units, IP filed, reserve, 3 months to close the next round.</t>
  </si>
  <si>
    <t xml:space="preserve">Too early</t>
  </si>
  <si>
    <t xml:space="preserve">Adds a second Baker for a studio, a mechanical engineer and China samples + trip. That is seed-round work: it spends money before the PoC has removed the risk.</t>
  </si>
  <si>
    <t xml:space="preserve">Too-early option adds: second Baker at prototype cost, one more engineer (mechanical) for the runway, ₹2,50,000 for China DFM samples + one Shenzhen trip (ASSUMPTION).</t>
  </si>
  <si>
    <t xml:space="preserve">Baker — prototype bill of materials (India-sourced)</t>
  </si>
  <si>
    <t xml:space="preserve">One prototype unit. Blue = inputs (qty, price, currency). Unit ₹ converts USD at the Inputs rate. Source column names the listing the price was read from.</t>
  </si>
  <si>
    <t xml:space="preserve">#</t>
  </si>
  <si>
    <t xml:space="preserve">Code</t>
  </si>
  <si>
    <t xml:space="preserve">Section</t>
  </si>
  <si>
    <t xml:space="preserve">Part / description</t>
  </si>
  <si>
    <t xml:space="preserve">Qty</t>
  </si>
  <si>
    <t xml:space="preserve">Unit price</t>
  </si>
  <si>
    <t xml:space="preserve">Cur</t>
  </si>
  <si>
    <t xml:space="preserve">Unit ₹</t>
  </si>
  <si>
    <t xml:space="preserve">Line ₹</t>
  </si>
  <si>
    <t xml:space="preserve">Imported?</t>
  </si>
  <si>
    <t xml:space="preserve">Price basis</t>
  </si>
  <si>
    <t xml:space="preserve">Source (listing seen)</t>
  </si>
  <si>
    <t xml:space="preserve">A</t>
  </si>
  <si>
    <t xml:space="preserve">Frame &amp; enclosure</t>
  </si>
  <si>
    <t xml:space="preserve">20x40 T-slot extrusion, 1000 mm</t>
  </si>
  <si>
    <t xml:space="preserve">INR</t>
  </si>
  <si>
    <t xml:space="preserve">Listing</t>
  </si>
  <si>
    <t xml:space="preserve">robu.in</t>
  </si>
  <si>
    <t xml:space="preserve">Brackets, T-nuts, fasteners</t>
  </si>
  <si>
    <t xml:space="preserve">Estimate</t>
  </si>
  <si>
    <t xml:space="preserve">6061 aluminium plate 6 mm (base + shuttle fixture), kg</t>
  </si>
  <si>
    <t xml:space="preserve">www.indiamart.com</t>
  </si>
  <si>
    <t xml:space="preserve">3 mm clear acrylic panel, 24x24 in (laser-cut in-house)</t>
  </si>
  <si>
    <t xml:space="preserve">www.acrylicsheetsindia.com</t>
  </si>
  <si>
    <t xml:space="preserve">Orange laser-safe viewing window (450 nm)</t>
  </si>
  <si>
    <t xml:space="preserve">phillips-safety.com</t>
  </si>
  <si>
    <t xml:space="preserve">MC-38 door interlock switch</t>
  </si>
  <si>
    <t xml:space="preserve">Emergency stop, mushroom head</t>
  </si>
  <si>
    <t xml:space="preserve">Laser safety goggles OD6+ 190-490 nm</t>
  </si>
  <si>
    <t xml:space="preserve">USD</t>
  </si>
  <si>
    <t xml:space="preserve">woodartsupply.com</t>
  </si>
  <si>
    <t xml:space="preserve">B</t>
  </si>
  <si>
    <t xml:space="preserve">Motion</t>
  </si>
  <si>
    <t xml:space="preserve">Ball-screw linear stage, 200-300 mm (shuttle X, two cross axes)</t>
  </si>
  <si>
    <t xml:space="preserve">NEMA23 stepper 18.9 kg-cm (if stage ships without motor)</t>
  </si>
  <si>
    <t xml:space="preserve">100 mm SFU1605 stage + NEMA17 (two Z axes)</t>
  </si>
  <si>
    <t xml:space="preserve">www.sainsmart.com</t>
  </si>
  <si>
    <t xml:space="preserve">DM556 digital stepper driver (NEMA23 axes)</t>
  </si>
  <si>
    <t xml:space="preserve">probots.co.in</t>
  </si>
  <si>
    <t xml:space="preserve">NEMA17 stepper 7.2 kg-cm (film, syringes, ejector, stencil lift)</t>
  </si>
  <si>
    <t xml:space="preserve">TMC2209 driver</t>
  </si>
  <si>
    <t xml:space="preserve">Endstop switch with 1 m cable</t>
  </si>
  <si>
    <t xml:space="preserve">Drag chain 10x20, 1 m</t>
  </si>
  <si>
    <t xml:space="preserve">robokits.co.in</t>
  </si>
  <si>
    <t xml:space="preserve">T8 lead screw 300 mm + nut</t>
  </si>
  <si>
    <t xml:space="preserve">608ZZ bearings (pack of 4)</t>
  </si>
  <si>
    <t xml:space="preserve">C</t>
  </si>
  <si>
    <t xml:space="preserve">Zone A: mill, drill, laser</t>
  </si>
  <si>
    <t xml:space="preserve">500 W ER11 spindle kit with PSU and governor</t>
  </si>
  <si>
    <t xml:space="preserve">m.banggood.in</t>
  </si>
  <si>
    <t xml:space="preserve">ER11 collet set, 13 pcs</t>
  </si>
  <si>
    <t xml:space="preserve">www.jaibros.com</t>
  </si>
  <si>
    <t xml:space="preserve">10 W (9.5 W optical) 445 nm diode laser, D-B10W</t>
  </si>
  <si>
    <t xml:space="preserve">www.dnatechindia.com</t>
  </si>
  <si>
    <t xml:space="preserve">Laser air-assist pump set</t>
  </si>
  <si>
    <t xml:space="preserve">20 deg 0.1 mm V-bits, 10 pcs</t>
  </si>
  <si>
    <t xml:space="preserve">Carbide PCB drill set 0.3-1.2 mm</t>
  </si>
  <si>
    <t xml:space="preserve">www.amazon.com</t>
  </si>
  <si>
    <t xml:space="preserve">Wet/dry vacuum 1000 W (dust extraction)</t>
  </si>
  <si>
    <t xml:space="preserve">Z touch probe (pogo pin + clip)</t>
  </si>
  <si>
    <t xml:space="preserve">D</t>
  </si>
  <si>
    <t xml:space="preserve">Zone B: mask, UV, wipe</t>
  </si>
  <si>
    <t xml:space="preserve">30 cc syringe barrel with piston</t>
  </si>
  <si>
    <t xml:space="preserve">Blunt dispensing needle</t>
  </si>
  <si>
    <t xml:space="preserve">10.1 in 12K mono LCD (Saturn 3 Ultra part, doubles as printer spare)</t>
  </si>
  <si>
    <t xml:space="preserve">diy3d.in</t>
  </si>
  <si>
    <t xml:space="preserve">ChiTu L K1 board (drives 10.1 in LCD)</t>
  </si>
  <si>
    <t xml:space="preserve">www.chitusystems.com</t>
  </si>
  <si>
    <t xml:space="preserve">405 nm parallel UV light board, 10.1 in</t>
  </si>
  <si>
    <t xml:space="preserve">www.aliexpress.com</t>
  </si>
  <si>
    <t xml:space="preserve">12 V peristaltic pump (developer)</t>
  </si>
  <si>
    <t xml:space="preserve">Squeegee blade (wiper + paste)</t>
  </si>
  <si>
    <t xml:space="preserve">5015 blower (air knife)</t>
  </si>
  <si>
    <t xml:space="preserve">Waste tray and container</t>
  </si>
  <si>
    <t xml:space="preserve">E</t>
  </si>
  <si>
    <t xml:space="preserve">Stencil film</t>
  </si>
  <si>
    <t xml:space="preserve">Polyimide (Kapton) film roll</t>
  </si>
  <si>
    <t xml:space="preserve">12 V holding electromagnet 8 kg</t>
  </si>
  <si>
    <t xml:space="preserve">Ferrous clamp frame (magnetic 430 shim, not 304)</t>
  </si>
  <si>
    <t xml:space="preserve">12 V push-pull solenoid 25 N (film cut-off)</t>
  </si>
  <si>
    <t xml:space="preserve">Roller shafts and spacers</t>
  </si>
  <si>
    <t xml:space="preserve">F</t>
  </si>
  <si>
    <t xml:space="preserve">Placement + reflow</t>
  </si>
  <si>
    <t xml:space="preserve">12 V vacuum pump</t>
  </si>
  <si>
    <t xml:space="preserve">12 V solenoid valve 1/8 in, NC</t>
  </si>
  <si>
    <t xml:space="preserve">Foot pedal switch, momentary</t>
  </si>
  <si>
    <t xml:space="preserve">Manual vacuum pen FFQ939 (backup)</t>
  </si>
  <si>
    <t xml:space="preserve">Silicone heater pad 300 W 230 V (hotplate)</t>
  </si>
  <si>
    <t xml:space="preserve">SSR-25DA solid state relay</t>
  </si>
  <si>
    <t xml:space="preserve">MAX31855 thermocouple module</t>
  </si>
  <si>
    <t xml:space="preserve">K-type thermocouple, M6 screw</t>
  </si>
  <si>
    <t xml:space="preserve">electroslab.com</t>
  </si>
  <si>
    <t xml:space="preserve">5015 blower (cool-down)</t>
  </si>
  <si>
    <t xml:space="preserve">G</t>
  </si>
  <si>
    <t xml:space="preserve">Board handling</t>
  </si>
  <si>
    <t xml:space="preserve">Registration dowel pins and springs</t>
  </si>
  <si>
    <t xml:space="preserve">H</t>
  </si>
  <si>
    <t xml:space="preserve">Electronics &amp; control</t>
  </si>
  <si>
    <t xml:space="preserve">Raspberry Pi 5 4GB (host, Proto UI)</t>
  </si>
  <si>
    <t xml:space="preserve">Pi 5 27 W USB-C PSU</t>
  </si>
  <si>
    <t xml:space="preserve">robocraze.com</t>
  </si>
  <si>
    <t xml:space="preserve">Pi 5 active cooler</t>
  </si>
  <si>
    <t xml:space="preserve">SanDisk 64 GB microSD</t>
  </si>
  <si>
    <t xml:space="preserve">Raspberry Pi Touch Display 2, 7 in</t>
  </si>
  <si>
    <t xml:space="preserve">BTT Octopus Pro F446 (Klipper MCU)</t>
  </si>
  <si>
    <t xml:space="preserve">Mean Well LRS-350-24</t>
  </si>
  <si>
    <t xml:space="preserve">Mean Well LRS-350-48 (DM556 rail)</t>
  </si>
  <si>
    <t xml:space="preserve">Mean Well LRS-150-12</t>
  </si>
  <si>
    <t xml:space="preserve">Wiring, connectors, fuses, DIN rail</t>
  </si>
  <si>
    <t xml:space="preserve">I</t>
  </si>
  <si>
    <t xml:space="preserve">Resin printer (high-temp jigs)</t>
  </si>
  <si>
    <t xml:space="preserve">Elegoo Saturn 3 Ultra 12K</t>
  </si>
  <si>
    <t xml:space="preserve">voxelstudio.co.in</t>
  </si>
  <si>
    <t xml:space="preserve">Elegoo Mercury Plus 2.0 wash and cure</t>
  </si>
  <si>
    <t xml:space="preserve">pricehistory.app</t>
  </si>
  <si>
    <t xml:space="preserve">Phrozen TR300 ultra-high-temp resin, 1 kg (HDT 160 C)</t>
  </si>
  <si>
    <t xml:space="preserve">Elegoo standard resin, 1 kg (brackets, bezels)</t>
  </si>
  <si>
    <t xml:space="preserve">m.indiamart.com</t>
  </si>
  <si>
    <t xml:space="preserve">Isopropyl alcohol 99%, litre</t>
  </si>
  <si>
    <t xml:space="preserve">J</t>
  </si>
  <si>
    <t xml:space="preserve">First-run consumables</t>
  </si>
  <si>
    <t xml:space="preserve">FR4 copper clad 100x150 mm</t>
  </si>
  <si>
    <t xml:space="preserve">Alkali-developing LPSM, 1 kg</t>
  </si>
  <si>
    <t xml:space="preserve">Sodium carbonate (developer)</t>
  </si>
  <si>
    <t xml:space="preserve">Sn42Bi58 low-temp paste, 500 g</t>
  </si>
  <si>
    <t xml:space="preserve">Test component kit (0805, SOT-23, SOIC)</t>
  </si>
  <si>
    <t xml:space="preserve">Parts total</t>
  </si>
  <si>
    <t xml:space="preserve">of which imported (USD-priced lines)</t>
  </si>
  <si>
    <t xml:space="preserve">Lines priced from a live listing</t>
  </si>
  <si>
    <t xml:space="preserve">Baker — prototype cost breakup by section</t>
  </si>
  <si>
    <t xml:space="preserve">Section totals from the Baker BOM, then duty/courier and contingency.</t>
  </si>
  <si>
    <t xml:space="preserve">BOM lines</t>
  </si>
  <si>
    <t xml:space="preserve">Listing-priced</t>
  </si>
  <si>
    <t xml:space="preserve">Parts ₹</t>
  </si>
  <si>
    <t xml:space="preserve">of which imported ₹</t>
  </si>
  <si>
    <t xml:space="preserve">Duty + courier ₹</t>
  </si>
  <si>
    <t xml:space="preserve">Subtotal ₹</t>
  </si>
  <si>
    <t xml:space="preserve">Contingency ₹</t>
  </si>
  <si>
    <t xml:space="preserve">All-in section cost ₹</t>
  </si>
  <si>
    <t xml:space="preserve">% of total</t>
  </si>
  <si>
    <t xml:space="preserve">Baker prototype total</t>
  </si>
  <si>
    <t xml:space="preserve">How to read this: "Parts ₹" matches the section totals in the cost report. Duty + courier (35%) applies only to USD-priced (imported) lines. "All-in" spreads duty and the 15% contingency back onto each section, so the all-in column sums to the final prototype cost.</t>
  </si>
  <si>
    <t xml:space="preserve">Baker — production unit BOM (parts from China, built in Delhi, 100-unit batch)</t>
  </si>
  <si>
    <t xml:space="preserve">Design moves vs prototype: ball screws + HGR15 rails; Manta M8P + CB1 replaces Pi 5/Octopus/DM556; one 24 V rail; jig printing on Baker’s own UV engine.</t>
  </si>
  <si>
    <t xml:space="preserve">P1</t>
  </si>
  <si>
    <t xml:space="preserve">Ball screw SFU1605 set with BK/BF12 ends</t>
  </si>
  <si>
    <t xml:space="preserve">ebay.com</t>
  </si>
  <si>
    <t xml:space="preserve">HGR15 rail pair + 4 blocks</t>
  </si>
  <si>
    <t xml:space="preserve">NEMA23 1.26 Nm, 100+ price</t>
  </si>
  <si>
    <t xml:space="preserve">www.omc-stepperonline.com</t>
  </si>
  <si>
    <t xml:space="preserve">NEMA17 59 Ncm, 100+ price</t>
  </si>
  <si>
    <t xml:space="preserve">Z axes: T8 screw + linear guide, extrusion</t>
  </si>
  <si>
    <t xml:space="preserve">P2</t>
  </si>
  <si>
    <t xml:space="preserve">Control</t>
  </si>
  <si>
    <t xml:space="preserve">BTT Manta M8P V2 (8 drivers, replaces Octopus + DM556)</t>
  </si>
  <si>
    <t xml:space="preserve">biqu.equipment</t>
  </si>
  <si>
    <t xml:space="preserve">BTT CB1 compute module (replaces Pi 5)</t>
  </si>
  <si>
    <t xml:space="preserve">www.3djake.com</t>
  </si>
  <si>
    <t xml:space="preserve">TMC2209 IC on driver sticks, 100+ (chip price)</t>
  </si>
  <si>
    <t xml:space="preserve">www.lcsc.com</t>
  </si>
  <si>
    <t xml:space="preserve">BTT HDMI7 touch screen</t>
  </si>
  <si>
    <t xml:space="preserve">Mean Well LRS-350-24, 100+ price (single 24 V rail)</t>
  </si>
  <si>
    <t xml:space="preserve">P3</t>
  </si>
  <si>
    <t xml:space="preserve">Heads</t>
  </si>
  <si>
    <t xml:space="preserve">500 W ER11 spindle kit (retail; volume lower)</t>
  </si>
  <si>
    <t xml:space="preserve">10 W diode laser, LaserTree (retail; volume lower)</t>
  </si>
  <si>
    <t xml:space="preserve">lasertree.com</t>
  </si>
  <si>
    <t xml:space="preserve">P4</t>
  </si>
  <si>
    <t xml:space="preserve">Zone B</t>
  </si>
  <si>
    <t xml:space="preserve">10.1 in 12K mono LCD (ChiTu store)</t>
  </si>
  <si>
    <t xml:space="preserve">ChiTu L K1 LCD board</t>
  </si>
  <si>
    <t xml:space="preserve">405 nm parallel UV board 10.1 in</t>
  </si>
  <si>
    <t xml:space="preserve">www.alibaba.com</t>
  </si>
  <si>
    <t xml:space="preserve">Jig-printing vat + lift on the same UV engine (replaces separate printer)</t>
  </si>
  <si>
    <t xml:space="preserve">P5</t>
  </si>
  <si>
    <t xml:space="preserve">Small parts (India)</t>
  </si>
  <si>
    <t xml:space="preserve">Pumps, valves, magnets, heater pad, SSR, sensors, fans</t>
  </si>
  <si>
    <t xml:space="preserve">see prototype sheet</t>
  </si>
  <si>
    <t xml:space="preserve">P6</t>
  </si>
  <si>
    <t xml:space="preserve">Enclosure</t>
  </si>
  <si>
    <t xml:space="preserve">Sheet-metal frame + acrylic panels, India fabrication</t>
  </si>
  <si>
    <t xml:space="preserve">Wiring harness, connectors</t>
  </si>
  <si>
    <t xml:space="preserve">Baker production unit: cost build-up</t>
  </si>
  <si>
    <t xml:space="preserve">Cost line</t>
  </si>
  <si>
    <t xml:space="preserve">₹ / unit</t>
  </si>
  <si>
    <t xml:space="preserve">% of unit</t>
  </si>
  <si>
    <t xml:space="preserve">P1  Motion</t>
  </si>
  <si>
    <t xml:space="preserve">Parts (sum of BOM lines above)</t>
  </si>
  <si>
    <t xml:space="preserve">P2  Control</t>
  </si>
  <si>
    <t xml:space="preserve">P3  Heads</t>
  </si>
  <si>
    <t xml:space="preserve">P4  Zone B</t>
  </si>
  <si>
    <t xml:space="preserve">P5  Small parts (India)</t>
  </si>
  <si>
    <t xml:space="preserve">P6  Enclosure</t>
  </si>
  <si>
    <t xml:space="preserve">Duty on China parts (BCD 15% + SWS; IGST credited)</t>
  </si>
  <si>
    <t xml:space="preserve">Applied to USD-priced (imported) lines only</t>
  </si>
  <si>
    <t xml:space="preserve">Sea-freight share (LCL all-in)</t>
  </si>
  <si>
    <t xml:space="preserve">From Inputs</t>
  </si>
  <si>
    <t xml:space="preserve">Assembly + QC in India</t>
  </si>
  <si>
    <t xml:space="preserve">From Inputs (deck figure)</t>
  </si>
  <si>
    <t xml:space="preserve">Baker production unit (landed Delhi, 100-unit batch)</t>
  </si>
  <si>
    <t xml:space="preserve">Baker — final prototype cost and production unit cost</t>
  </si>
  <si>
    <t xml:space="preserve">Everything on this sheet is a formula linked to the BOM, breakup and Inputs sheets.</t>
  </si>
  <si>
    <t xml:space="preserve">A. Final prototype cost (one unit, bought in India)</t>
  </si>
  <si>
    <t xml:space="preserve">Step</t>
  </si>
  <si>
    <t xml:space="preserve">How it is calculated</t>
  </si>
  <si>
    <t xml:space="preserve">Parts (all BOM lines)</t>
  </si>
  <si>
    <t xml:space="preserve">Sum of every line in the prototype BOM</t>
  </si>
  <si>
    <t xml:space="preserve">+ Duty + courier on imported items</t>
  </si>
  <si>
    <t xml:space="preserve">35% × USD-priced lines (see Inputs)</t>
  </si>
  <si>
    <t xml:space="preserve">→ Subtotal</t>
  </si>
  <si>
    <t xml:space="preserve">+ Contingency</t>
  </si>
  <si>
    <t xml:space="preserve">15% × subtotal (see Inputs)</t>
  </si>
  <si>
    <t xml:space="preserve">→ FINAL BAKER PROTOTYPE COST</t>
  </si>
  <si>
    <t xml:space="preserve">Matches the cost report</t>
  </si>
  <si>
    <t xml:space="preserve">Check: equals sum of all-in section costs on the breakup sheet</t>
  </si>
  <si>
    <t xml:space="preserve">BOM lines priced from a live listing</t>
  </si>
  <si>
    <t xml:space="preserve">B. Production unit and target</t>
  </si>
  <si>
    <t xml:space="preserve">Measure</t>
  </si>
  <si>
    <t xml:space="preserve">Prototype (India, one unit)</t>
  </si>
  <si>
    <t xml:space="preserve">Section A above</t>
  </si>
  <si>
    <t xml:space="preserve">Production unit (China parts, Delhi assembly, batch of 100)</t>
  </si>
  <si>
    <t xml:space="preserve">From production sheet</t>
  </si>
  <si>
    <t xml:space="preserve">Headroom: target − production unit</t>
  </si>
  <si>
    <t xml:space="preserve">Positive = under target</t>
  </si>
  <si>
    <t xml:space="preserve">Production unit as % of target</t>
  </si>
  <si>
    <t xml:space="preserve">Saving: prototype → production</t>
  </si>
  <si>
    <t xml:space="preserve">Saving as % of prototype</t>
  </si>
  <si>
    <t xml:space="preserve">Risk-adjusted production unit (+ risk allowance)</t>
  </si>
  <si>
    <t xml:space="preserve">Optional view; allowance is an assumption on Inputs</t>
  </si>
  <si>
    <t xml:space="preserve">Risk-adjusted headroom vs target</t>
  </si>
  <si>
    <t xml:space="preserve">If negative, the target is at risk</t>
  </si>
  <si>
    <t xml:space="preserve">Mixer — prototype bill of materials (India-sourced)</t>
  </si>
  <si>
    <t xml:space="preserve">8 instruments on one host: 2-ch scope (12-bit, 65 MS/s), 2-ch wavegen (14-bit), 16-ch logic analyser, pattern generator, protocol decoder, 2 programmable supplies, 24-bit multimeter.</t>
  </si>
  <si>
    <t xml:space="preserve">M1</t>
  </si>
  <si>
    <t xml:space="preserve">Capture and generation</t>
  </si>
  <si>
    <t xml:space="preserve">Sipeed Tang Primer 20K Dock (FPGA)</t>
  </si>
  <si>
    <t xml:space="preserve">AD9226 12-bit 65 MS/s ADC module (one per channel)</t>
  </si>
  <si>
    <t xml:space="preserve">www.ebay.com</t>
  </si>
  <si>
    <t xml:space="preserve">AN9767 dual 14-bit 125 MS/s DAC module</t>
  </si>
  <si>
    <t xml:space="preserve">M2</t>
  </si>
  <si>
    <t xml:space="preserve">Front end and instruments</t>
  </si>
  <si>
    <t xml:space="preserve">AD8066 dual FET op-amp (input buffers)</t>
  </si>
  <si>
    <t xml:space="preserve">www.findchips.com</t>
  </si>
  <si>
    <t xml:space="preserve">REF5025 precision reference</t>
  </si>
  <si>
    <t xml:space="preserve">ADS1256 24-bit ADC module (multimeter)</t>
  </si>
  <si>
    <t xml:space="preserve">MCP4728 quad DAC (supply setpoints)</t>
  </si>
  <si>
    <t xml:space="preserve">INA226 power monitor</t>
  </si>
  <si>
    <t xml:space="preserve">XL6009 buck-boost (programmable supplies)</t>
  </si>
  <si>
    <t xml:space="preserve">5 V DPDT signal relay (range switching)</t>
  </si>
  <si>
    <t xml:space="preserve">74LVC245 level shifter (16-ch logic)</t>
  </si>
  <si>
    <t xml:space="preserve">tinkersphere.com</t>
  </si>
  <si>
    <t xml:space="preserve">0805 resistor sample book, 8500 pcs</t>
  </si>
  <si>
    <t xml:space="preserve">rajivelectronics.com</t>
  </si>
  <si>
    <t xml:space="preserve">0805 capacitor sample book, 4600 pcs</t>
  </si>
  <si>
    <t xml:space="preserve">4-layer carrier PCB, 5 pcs + courier</t>
  </si>
  <si>
    <t xml:space="preserve">jlcpcb.com</t>
  </si>
  <si>
    <t xml:space="preserve">M3</t>
  </si>
  <si>
    <t xml:space="preserve">Host, screen, I/O</t>
  </si>
  <si>
    <t xml:space="preserve">Raspberry Pi 5 4GB</t>
  </si>
  <si>
    <t xml:space="preserve">BNC panel connector</t>
  </si>
  <si>
    <t xml:space="preserve">4 mm banana socket</t>
  </si>
  <si>
    <t xml:space="preserve">FNIRSI P6100 100 MHz scope probe</t>
  </si>
  <si>
    <t xml:space="preserve">12 V 5 A adapter</t>
  </si>
  <si>
    <t xml:space="preserve">M4</t>
  </si>
  <si>
    <t xml:space="preserve">Vacuum-formed shell (HIPS sheet, in-house former)</t>
  </si>
  <si>
    <t xml:space="preserve">Acrylic front panel (laser-cut)</t>
  </si>
  <si>
    <t xml:space="preserve">Fan, fasteners, wiring</t>
  </si>
  <si>
    <t xml:space="preserve">Mixer — prototype cost breakup by section</t>
  </si>
  <si>
    <t xml:space="preserve">Section totals from the Mixer BOM, then duty/courier and contingency.</t>
  </si>
  <si>
    <t xml:space="preserve">Mixer prototype total</t>
  </si>
  <si>
    <t xml:space="preserve">Mixer — production unit BOM (parts from China, built in Delhi, 100-unit batch)</t>
  </si>
  <si>
    <t xml:space="preserve">Production Mixer drops to 8-bit capture/generation (AD9288, DAC908) and one USB cable with no screen: the trade that gets it under ₹15,000.</t>
  </si>
  <si>
    <t xml:space="preserve">Q1</t>
  </si>
  <si>
    <t xml:space="preserve">Silicon</t>
  </si>
  <si>
    <t xml:space="preserve">Tang Nano 9K FPGA module (GW1NR-9 + 64 Mb PSRAM)</t>
  </si>
  <si>
    <t xml:space="preserve">store.lushaylabs.com</t>
  </si>
  <si>
    <t xml:space="preserve">AD9288 dual 8-bit 80 MS/s ADC, 100+</t>
  </si>
  <si>
    <t xml:space="preserve">DAC908 8-bit 165 MS/s DAC, 100+</t>
  </si>
  <si>
    <t xml:space="preserve">FT232HL USB 2.0 high-speed bridge, 100+</t>
  </si>
  <si>
    <t xml:space="preserve">ADS1256 24-bit ADC (multimeter), 100+</t>
  </si>
  <si>
    <t xml:space="preserve">AD8066 dual op-amp, 100+</t>
  </si>
  <si>
    <t xml:space="preserve">REF5025 reference, 100+</t>
  </si>
  <si>
    <t xml:space="preserve">Q2</t>
  </si>
  <si>
    <t xml:space="preserve">Board</t>
  </si>
  <si>
    <t xml:space="preserve">Supply DACs, INA226, relays, protection, passives</t>
  </si>
  <si>
    <t xml:space="preserve">4-layer PCB + JLCPCB assembly share at 100 pcs</t>
  </si>
  <si>
    <t xml:space="preserve">BNC, banana jacks, USB-C, logic header</t>
  </si>
  <si>
    <t xml:space="preserve">Q3</t>
  </si>
  <si>
    <t xml:space="preserve">Extruded aluminium case with end panels</t>
  </si>
  <si>
    <t xml:space="preserve">Q4</t>
  </si>
  <si>
    <t xml:space="preserve">Accessories</t>
  </si>
  <si>
    <t xml:space="preserve">Two 10x probes + USB cable</t>
  </si>
  <si>
    <t xml:space="preserve">Mixer production unit: cost build-up</t>
  </si>
  <si>
    <t xml:space="preserve">Q1  Silicon</t>
  </si>
  <si>
    <t xml:space="preserve">Q2  Board</t>
  </si>
  <si>
    <t xml:space="preserve">Q3  Enclosure</t>
  </si>
  <si>
    <t xml:space="preserve">Q4  Accessories</t>
  </si>
  <si>
    <t xml:space="preserve">Mixer production unit (landed Delhi, 100-unit batch)</t>
  </si>
  <si>
    <t xml:space="preserve">Mixer — final prototype cost and production unit cost</t>
  </si>
  <si>
    <t xml:space="preserve">→ FINAL MIXER PROTOTYPE COST</t>
  </si>
  <si>
    <t xml:space="preserve">Inputs &amp; assumptions</t>
  </si>
  <si>
    <t xml:space="preserve">Blue cells are inputs: change them and every BOM, cost breakup and final cost updates. Yellow = key assumption.</t>
  </si>
  <si>
    <t xml:space="preserve">Unit</t>
  </si>
  <si>
    <t xml:space="preserve">Source / note</t>
  </si>
  <si>
    <t xml:space="preserve">USD → INR exchange rate</t>
  </si>
  <si>
    <t xml:space="preserve">₹ per $</t>
  </si>
  <si>
    <t xml:space="preserve">Cost report, 29 Sep 2026 (USD converted at ₹88)</t>
  </si>
  <si>
    <t xml:space="preserve">Prototype: duty + courier on imported (USD-priced) items</t>
  </si>
  <si>
    <t xml:space="preserve">%</t>
  </si>
  <si>
    <t xml:space="preserve">Cost report: imported prototype items carry 35% for duty and courier</t>
  </si>
  <si>
    <t xml:space="preserve">Prototype: contingency</t>
  </si>
  <si>
    <t xml:space="preserve">Cost report: 15% contingency on prototype subtotal</t>
  </si>
  <si>
    <t xml:space="preserve">Production: duty on China parts (BCD 15% + SWS)</t>
  </si>
  <si>
    <t xml:space="preserve">Cost report: HS 8501 rates (EximPe); IGST credited. Confirm with customs broker</t>
  </si>
  <si>
    <t xml:space="preserve">Production: sea-freight share per Baker (LCL all-in)</t>
  </si>
  <si>
    <t xml:space="preserve">₹/unit</t>
  </si>
  <si>
    <t xml:space="preserve">Cost report: Sino-Shipping Sep 2026 rates</t>
  </si>
  <si>
    <t xml:space="preserve">Production: sea-freight share per Mixer (LCL all-in)</t>
  </si>
  <si>
    <t xml:space="preserve">Production: Baker assembly + QC in India</t>
  </si>
  <si>
    <t xml:space="preserve">Cost report (pitch-deck figure)</t>
  </si>
  <si>
    <t xml:space="preserve">Production: Mixer assembly + QC in India</t>
  </si>
  <si>
    <t xml:space="preserve">Deck hardware target: Baker</t>
  </si>
  <si>
    <t xml:space="preserve">Pitch deck</t>
  </si>
  <si>
    <t xml:space="preserve">Deck hardware target: Mixer</t>
  </si>
  <si>
    <t xml:space="preserve">Production batch size</t>
  </si>
  <si>
    <t xml:space="preserve">units</t>
  </si>
  <si>
    <t xml:space="preserve">Cost report: China parts bought in batches of 100</t>
  </si>
  <si>
    <t xml:space="preserve">Risk allowance on production unit (optional view)</t>
  </si>
  <si>
    <t xml:space="preserve">ASSUMPTION added in this workbook, not in the cost report. Production figures in the report carry no contingency; this only feeds the "risk-adjusted" line</t>
  </si>
  <si>
    <t xml:space="preserve">Colour legend</t>
  </si>
  <si>
    <t xml:space="preserve">Blue text = hardcoded input (edit these)</t>
  </si>
  <si>
    <t xml:space="preserve">Black text = formula</t>
  </si>
  <si>
    <t xml:space="preserve">Green text = pulled from another sheet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</si>
</sst>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&gt;=10000000]\₹##\,##\,##\,##0;[&gt;=100000]\₹##\,##\,##0;\₹#,##0"/>
    <numFmt numFmtId="166" formatCode="\₹#,##0;&quot;-₹&quot;#,##0"/>
    <numFmt numFmtId="167" formatCode="0.0%"/>
    <numFmt numFmtId="168" formatCode="#,##0"/>
    <numFmt numFmtId="169" formatCode="0"/>
    <numFmt numFmtId="170" formatCode="#,##0.00"/>
    <numFmt numFmtId="171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Prototype vs production unit vs deck target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Prototype (India)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Summary!$B$5:$B$6</c:f>
              <c:numCache>
                <c:formatCode>[&gt;=10000000]\₹##\,##\,##\,##0;[&gt;=100000]\₹##\,##\,##0;\₹#,##0</c:formatCode>
                <c:ptCount val="2"/>
                <c:pt idx="0">
                  <c:v>373417.9444</c:v>
                </c:pt>
                <c:pt idx="1">
                  <c:v>74846.9312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Production unit (China parts)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Summary!$C$5:$C$6</c:f>
              <c:numCache>
                <c:formatCode>[&gt;=10000000]\₹##\,##\,##\,##0;[&gt;=100000]\₹##\,##\,##0;\₹#,##0</c:formatCode>
                <c:ptCount val="2"/>
                <c:pt idx="0">
                  <c:v>144842.3016</c:v>
                </c:pt>
                <c:pt idx="1">
                  <c:v>13740.256</c:v>
                </c:pt>
              </c:numCache>
            </c:numRef>
          </c:val>
        </c:ser>
        <c:ser>
          <c:idx val="2"/>
          <c:order val="2"/>
          <c:tx>
            <c:strRef>
              <c:f>Summary!D4</c:f>
              <c:strCache>
                <c:ptCount val="1"/>
                <c:pt idx="0">
                  <c:v>Deck hardware target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Summary!$D$5:$D$6</c:f>
              <c:numCache>
                <c:formatCode>[&gt;=10000000]\₹##\,##\,##\,##0;[&gt;=100000]\₹##\,##\,##0;\₹#,##0</c:formatCode>
                <c:ptCount val="2"/>
                <c:pt idx="0">
                  <c:v>150000</c:v>
                </c:pt>
                <c:pt idx="1">
                  <c:v>15000</c:v>
                </c:pt>
              </c:numCache>
            </c:numRef>
          </c:val>
        </c:ser>
        <c:gapWidth val="150"/>
        <c:overlap val="0"/>
        <c:axId val="95840242"/>
        <c:axId val="31076756"/>
      </c:barChart>
      <c:catAx>
        <c:axId val="95840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76756"/>
        <c:crosses val="autoZero"/>
        <c:auto val="1"/>
        <c:lblAlgn val="ctr"/>
        <c:lblOffset val="100"/>
        <c:noMultiLvlLbl val="0"/>
      </c:catAx>
      <c:valAx>
        <c:axId val="31076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0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Baker prototype: all-in cost by section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'Baker Cost Breakup'!J4</c:f>
              <c:strCache>
                <c:ptCount val="1"/>
                <c:pt idx="0">
                  <c:v>All-in section cost ₹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'Baker Cost Breakup'!$B$5:$B$14</c:f>
              <c:strCache>
                <c:ptCount val="10"/>
                <c:pt idx="0">
                  <c:v>Frame &amp; enclosure</c:v>
                </c:pt>
                <c:pt idx="1">
                  <c:v>Motion</c:v>
                </c:pt>
                <c:pt idx="2">
                  <c:v>Zone A: mill, drill, laser</c:v>
                </c:pt>
                <c:pt idx="3">
                  <c:v>Zone B: mask, UV, wipe</c:v>
                </c:pt>
                <c:pt idx="4">
                  <c:v>Stencil film</c:v>
                </c:pt>
                <c:pt idx="5">
                  <c:v>Placement + reflow</c:v>
                </c:pt>
                <c:pt idx="6">
                  <c:v>Board handling</c:v>
                </c:pt>
                <c:pt idx="7">
                  <c:v>Electronics &amp; control</c:v>
                </c:pt>
                <c:pt idx="8">
                  <c:v>Resin printer (high-temp jigs)</c:v>
                </c:pt>
                <c:pt idx="9">
                  <c:v>First-run consumables</c:v>
                </c:pt>
              </c:strCache>
            </c:strRef>
          </c:cat>
          <c:val>
            <c:numRef>
              <c:f>'Baker Cost Breakup'!$J$5:$J$14</c:f>
              <c:numCache>
                <c:formatCode>[&gt;=10000000]\₹##\,##\,##\,##0;[&gt;=100000]\₹##\,##\,##0;\₹#,##0</c:formatCode>
                <c:ptCount val="10"/>
                <c:pt idx="0">
                  <c:v>28303.5976</c:v>
                </c:pt>
                <c:pt idx="1">
                  <c:v>98460.2676</c:v>
                </c:pt>
                <c:pt idx="2">
                  <c:v>47906.2676</c:v>
                </c:pt>
                <c:pt idx="3">
                  <c:v>40024.1216</c:v>
                </c:pt>
                <c:pt idx="4">
                  <c:v>6675.75</c:v>
                </c:pt>
                <c:pt idx="5">
                  <c:v>5695.49</c:v>
                </c:pt>
                <c:pt idx="6">
                  <c:v>345</c:v>
                </c:pt>
                <c:pt idx="7">
                  <c:v>49432.75</c:v>
                </c:pt>
                <c:pt idx="8">
                  <c:v>89352.7</c:v>
                </c:pt>
                <c:pt idx="9">
                  <c:v>7222</c:v>
                </c:pt>
              </c:numCache>
            </c:numRef>
          </c:val>
        </c:ser>
        <c:gapWidth val="150"/>
        <c:overlap val="0"/>
        <c:axId val="69033556"/>
        <c:axId val="49193885"/>
      </c:barChart>
      <c:catAx>
        <c:axId val="690335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93885"/>
        <c:crosses val="autoZero"/>
        <c:auto val="1"/>
        <c:lblAlgn val="ctr"/>
        <c:lblOffset val="100"/>
        <c:noMultiLvlLbl val="0"/>
      </c:catAx>
      <c:valAx>
        <c:axId val="4919388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33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Mixer prototype: all-in cost by section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'Mixer Cost Breakup'!J4</c:f>
              <c:strCache>
                <c:ptCount val="1"/>
                <c:pt idx="0">
                  <c:v>All-in section cost ₹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'Mixer Cost Breakup'!$B$5:$B$8</c:f>
              <c:strCache>
                <c:ptCount val="4"/>
                <c:pt idx="0">
                  <c:v>Capture and generation</c:v>
                </c:pt>
                <c:pt idx="1">
                  <c:v>Front end and instruments</c:v>
                </c:pt>
                <c:pt idx="2">
                  <c:v>Host, screen, I/O</c:v>
                </c:pt>
                <c:pt idx="3">
                  <c:v>Enclosure</c:v>
                </c:pt>
              </c:strCache>
            </c:strRef>
          </c:cat>
          <c:val>
            <c:numRef>
              <c:f>'Mixer Cost Breakup'!$J$5:$J$8</c:f>
              <c:numCache>
                <c:formatCode>[&gt;=10000000]\₹##\,##\,##\,##0;[&gt;=100000]\₹##\,##\,##0;\₹#,##0</c:formatCode>
                <c:ptCount val="4"/>
                <c:pt idx="0">
                  <c:v>22783.938</c:v>
                </c:pt>
                <c:pt idx="1">
                  <c:v>19561.6932</c:v>
                </c:pt>
                <c:pt idx="2">
                  <c:v>30764.8</c:v>
                </c:pt>
                <c:pt idx="3">
                  <c:v>1736.5</c:v>
                </c:pt>
              </c:numCache>
            </c:numRef>
          </c:val>
        </c:ser>
        <c:gapWidth val="150"/>
        <c:overlap val="0"/>
        <c:axId val="47919889"/>
        <c:axId val="23178642"/>
      </c:barChart>
      <c:catAx>
        <c:axId val="479198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78642"/>
        <c:crosses val="autoZero"/>
        <c:auto val="1"/>
        <c:lblAlgn val="ctr"/>
        <c:lblOffset val="100"/>
        <c:noMultiLvlLbl val="0"/>
      </c:catAx>
      <c:valAx>
        <c:axId val="231786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19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145440</xdr:rowOff>
    </xdr:from>
    <xdr:to>
      <xdr:col>16</xdr:col>
      <xdr:colOff>49320</xdr:colOff>
      <xdr:row>14</xdr:row>
      <xdr:rowOff>148320</xdr:rowOff>
    </xdr:to>
    <xdr:graphicFrame>
      <xdr:nvGraphicFramePr>
        <xdr:cNvPr id="0" name="Chart 1"/>
        <xdr:cNvGraphicFramePr/>
      </xdr:nvGraphicFramePr>
      <xdr:xfrm>
        <a:off x="1391616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145440</xdr:rowOff>
    </xdr:from>
    <xdr:to>
      <xdr:col>6</xdr:col>
      <xdr:colOff>185400</xdr:colOff>
      <xdr:row>37</xdr:row>
      <xdr:rowOff>125640</xdr:rowOff>
    </xdr:to>
    <xdr:graphicFrame>
      <xdr:nvGraphicFramePr>
        <xdr:cNvPr id="1" name="Chart 1"/>
        <xdr:cNvGraphicFramePr/>
      </xdr:nvGraphicFramePr>
      <xdr:xfrm>
        <a:off x="0" y="4000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145440</xdr:rowOff>
    </xdr:from>
    <xdr:to>
      <xdr:col>6</xdr:col>
      <xdr:colOff>185400</xdr:colOff>
      <xdr:row>31</xdr:row>
      <xdr:rowOff>125640</xdr:rowOff>
    </xdr:to>
    <xdr:graphicFrame>
      <xdr:nvGraphicFramePr>
        <xdr:cNvPr id="2" name="Chart 1"/>
        <xdr:cNvGraphicFramePr/>
      </xdr:nvGraphicFramePr>
      <xdr:xfrm>
        <a:off x="0" y="2857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'Baker Final Cost'!B10</f>
        <v>373417.9444</v>
      </c>
      <c r="C5" s="5" t="n">
        <f aca="false">'Baker Final Cost'!B17</f>
        <v>144842.3016</v>
      </c>
      <c r="D5" s="5" t="n">
        <f aca="false">'Baker Final Cost'!B18</f>
        <v>150000</v>
      </c>
      <c r="E5" s="6" t="n">
        <f aca="false">D5-C5</f>
        <v>5157.69839999999</v>
      </c>
      <c r="F5" s="7" t="n">
        <f aca="false">B5-C5</f>
        <v>228575.6428</v>
      </c>
    </row>
    <row r="6" customFormat="false" ht="15" hidden="false" customHeight="false" outlineLevel="0" collapsed="false">
      <c r="A6" s="4" t="s">
        <v>8</v>
      </c>
      <c r="B6" s="5" t="n">
        <f aca="false">'Mixer Final Cost'!B10</f>
        <v>74846.9312</v>
      </c>
      <c r="C6" s="5" t="n">
        <f aca="false">'Mixer Final Cost'!B17</f>
        <v>13740.256</v>
      </c>
      <c r="D6" s="5" t="n">
        <f aca="false">'Mixer Final Cost'!B18</f>
        <v>15000</v>
      </c>
      <c r="E6" s="6" t="n">
        <f aca="false">D6-C6</f>
        <v>1259.744</v>
      </c>
      <c r="F6" s="7" t="n">
        <f aca="false">B6-C6</f>
        <v>61106.6752</v>
      </c>
    </row>
    <row r="7" customFormat="false" ht="15" hidden="false" customHeight="false" outlineLevel="0" collapsed="false">
      <c r="A7" s="8" t="s">
        <v>9</v>
      </c>
      <c r="B7" s="9" t="n">
        <f aca="false">SUM(B5:B6)</f>
        <v>448264.8756</v>
      </c>
      <c r="C7" s="9" t="n">
        <f aca="false">SUM(C5:C6)</f>
        <v>158582.5576</v>
      </c>
      <c r="D7" s="9" t="n">
        <f aca="false">SUM(D5:D6)</f>
        <v>165000</v>
      </c>
      <c r="E7" s="10" t="n">
        <f aca="false">SUM(E5:E6)</f>
        <v>6417.44239999999</v>
      </c>
      <c r="F7" s="9" t="n">
        <f aca="false">SUM(F5:F6)</f>
        <v>289682.318</v>
      </c>
    </row>
    <row r="9" customFormat="false" ht="15" hidden="false" customHeight="false" outlineLevel="0" collapsed="false">
      <c r="A9" s="11" t="s">
        <v>10</v>
      </c>
    </row>
    <row r="10" customFormat="false" ht="30" hidden="false" customHeight="true" outlineLevel="0" collapsed="false">
      <c r="A10" s="3" t="s">
        <v>11</v>
      </c>
      <c r="B10" s="3" t="s">
        <v>12</v>
      </c>
      <c r="C10" s="3" t="s">
        <v>13</v>
      </c>
      <c r="D10" s="12"/>
      <c r="E10" s="3" t="s">
        <v>14</v>
      </c>
      <c r="F10" s="3" t="s">
        <v>12</v>
      </c>
      <c r="G10" s="3" t="s">
        <v>15</v>
      </c>
    </row>
    <row r="11" customFormat="false" ht="15" hidden="false" customHeight="false" outlineLevel="0" collapsed="false">
      <c r="A11" s="13" t="str">
        <f aca="false">'Baker Cost Breakup'!B5</f>
        <v>Frame &amp; enclosure</v>
      </c>
      <c r="B11" s="5" t="n">
        <f aca="false">'Baker Cost Breakup'!J5</f>
        <v>28303.5976</v>
      </c>
      <c r="C11" s="14" t="n">
        <f aca="false">'Baker Cost Breakup'!K5</f>
        <v>0.0757960296886043</v>
      </c>
      <c r="E11" s="13" t="str">
        <f aca="false">'Mixer Cost Breakup'!B5</f>
        <v>Capture and generation</v>
      </c>
      <c r="F11" s="5" t="n">
        <f aca="false">'Mixer Cost Breakup'!J5</f>
        <v>22783.938</v>
      </c>
      <c r="G11" s="14" t="n">
        <f aca="false">'Mixer Cost Breakup'!K5</f>
        <v>0.304407109746672</v>
      </c>
    </row>
    <row r="12" customFormat="false" ht="15" hidden="false" customHeight="false" outlineLevel="0" collapsed="false">
      <c r="A12" s="13" t="str">
        <f aca="false">'Baker Cost Breakup'!B6</f>
        <v>Motion</v>
      </c>
      <c r="B12" s="5" t="n">
        <f aca="false">'Baker Cost Breakup'!J6</f>
        <v>98460.2676</v>
      </c>
      <c r="C12" s="14" t="n">
        <f aca="false">'Baker Cost Breakup'!K6</f>
        <v>0.263673101618627</v>
      </c>
      <c r="E12" s="13" t="str">
        <f aca="false">'Mixer Cost Breakup'!B6</f>
        <v>Front end and instruments</v>
      </c>
      <c r="F12" s="5" t="n">
        <f aca="false">'Mixer Cost Breakup'!J6</f>
        <v>19561.6932</v>
      </c>
      <c r="G12" s="14" t="n">
        <f aca="false">'Mixer Cost Breakup'!K6</f>
        <v>0.26135598195374</v>
      </c>
    </row>
    <row r="13" customFormat="false" ht="15" hidden="false" customHeight="false" outlineLevel="0" collapsed="false">
      <c r="A13" s="13" t="str">
        <f aca="false">'Baker Cost Breakup'!B7</f>
        <v>Zone A: mill, drill, laser</v>
      </c>
      <c r="B13" s="5" t="n">
        <f aca="false">'Baker Cost Breakup'!J7</f>
        <v>47906.2676</v>
      </c>
      <c r="C13" s="14" t="n">
        <f aca="false">'Baker Cost Breakup'!K7</f>
        <v>0.128291284118589</v>
      </c>
      <c r="E13" s="13" t="str">
        <f aca="false">'Mixer Cost Breakup'!B7</f>
        <v>Host, screen, I/O</v>
      </c>
      <c r="F13" s="5" t="n">
        <f aca="false">'Mixer Cost Breakup'!J7</f>
        <v>30764.8</v>
      </c>
      <c r="G13" s="14" t="n">
        <f aca="false">'Mixer Cost Breakup'!K7</f>
        <v>0.411036224288111</v>
      </c>
    </row>
    <row r="14" customFormat="false" ht="15" hidden="false" customHeight="false" outlineLevel="0" collapsed="false">
      <c r="A14" s="13" t="str">
        <f aca="false">'Baker Cost Breakup'!B8</f>
        <v>Zone B: mask, UV, wipe</v>
      </c>
      <c r="B14" s="5" t="n">
        <f aca="false">'Baker Cost Breakup'!J8</f>
        <v>40024.1216</v>
      </c>
      <c r="C14" s="14" t="n">
        <f aca="false">'Baker Cost Breakup'!K8</f>
        <v>0.107183176920729</v>
      </c>
      <c r="E14" s="13" t="str">
        <f aca="false">'Mixer Cost Breakup'!B8</f>
        <v>Enclosure</v>
      </c>
      <c r="F14" s="5" t="n">
        <f aca="false">'Mixer Cost Breakup'!J8</f>
        <v>1736.5</v>
      </c>
      <c r="G14" s="14" t="n">
        <f aca="false">'Mixer Cost Breakup'!K8</f>
        <v>0.0232006840114776</v>
      </c>
    </row>
    <row r="15" customFormat="false" ht="15" hidden="false" customHeight="false" outlineLevel="0" collapsed="false">
      <c r="A15" s="13" t="str">
        <f aca="false">'Baker Cost Breakup'!B9</f>
        <v>Stencil film</v>
      </c>
      <c r="B15" s="5" t="n">
        <f aca="false">'Baker Cost Breakup'!J9</f>
        <v>6675.75</v>
      </c>
      <c r="C15" s="14" t="n">
        <f aca="false">'Baker Cost Breakup'!K9</f>
        <v>0.0178774215329326</v>
      </c>
    </row>
    <row r="16" customFormat="false" ht="15" hidden="false" customHeight="false" outlineLevel="0" collapsed="false">
      <c r="A16" s="13" t="str">
        <f aca="false">'Baker Cost Breakup'!B10</f>
        <v>Placement + reflow</v>
      </c>
      <c r="B16" s="5" t="n">
        <f aca="false">'Baker Cost Breakup'!J10</f>
        <v>5695.49</v>
      </c>
      <c r="C16" s="14" t="n">
        <f aca="false">'Baker Cost Breakup'!K10</f>
        <v>0.0152523200489237</v>
      </c>
    </row>
    <row r="17" customFormat="false" ht="15" hidden="false" customHeight="false" outlineLevel="0" collapsed="false">
      <c r="A17" s="13" t="str">
        <f aca="false">'Baker Cost Breakup'!B11</f>
        <v>Board handling</v>
      </c>
      <c r="B17" s="5" t="n">
        <f aca="false">'Baker Cost Breakup'!J11</f>
        <v>345</v>
      </c>
      <c r="C17" s="14" t="n">
        <f aca="false">'Baker Cost Breakup'!K11</f>
        <v>0.000923897753639929</v>
      </c>
    </row>
    <row r="18" customFormat="false" ht="15" hidden="false" customHeight="false" outlineLevel="0" collapsed="false">
      <c r="A18" s="13" t="str">
        <f aca="false">'Baker Cost Breakup'!B12</f>
        <v>Electronics &amp; control</v>
      </c>
      <c r="B18" s="5" t="n">
        <f aca="false">'Baker Cost Breakup'!J12</f>
        <v>49432.75</v>
      </c>
      <c r="C18" s="14" t="n">
        <f aca="false">'Baker Cost Breakup'!K12</f>
        <v>0.132379149800708</v>
      </c>
    </row>
    <row r="19" customFormat="false" ht="15" hidden="false" customHeight="false" outlineLevel="0" collapsed="false">
      <c r="A19" s="13" t="str">
        <f aca="false">'Baker Cost Breakup'!B13</f>
        <v>Resin printer (high-temp jigs)</v>
      </c>
      <c r="B19" s="5" t="n">
        <f aca="false">'Baker Cost Breakup'!J13</f>
        <v>89352.7</v>
      </c>
      <c r="C19" s="14" t="n">
        <f aca="false">'Baker Cost Breakup'!K13</f>
        <v>0.239283358874384</v>
      </c>
    </row>
    <row r="20" customFormat="false" ht="15" hidden="false" customHeight="false" outlineLevel="0" collapsed="false">
      <c r="A20" s="13" t="str">
        <f aca="false">'Baker Cost Breakup'!B14</f>
        <v>First-run consumables</v>
      </c>
      <c r="B20" s="5" t="n">
        <f aca="false">'Baker Cost Breakup'!J14</f>
        <v>7222</v>
      </c>
      <c r="C20" s="14" t="n">
        <f aca="false">'Baker Cost Breakup'!K14</f>
        <v>0.0193402596428625</v>
      </c>
    </row>
    <row r="24" customFormat="false" ht="15" hidden="false" customHeight="false" outlineLevel="0" collapsed="false">
      <c r="A24" s="11" t="s">
        <v>16</v>
      </c>
    </row>
    <row r="25" customFormat="false" ht="15" hidden="false" customHeight="false" outlineLevel="0" collapsed="false">
      <c r="A25" s="15" t="s">
        <v>17</v>
      </c>
    </row>
    <row r="26" customFormat="false" ht="15" hidden="false" customHeight="false" outlineLevel="0" collapsed="false">
      <c r="A26" s="15" t="s">
        <v>18</v>
      </c>
    </row>
    <row r="27" customFormat="false" ht="15" hidden="false" customHeight="false" outlineLevel="0" collapsed="false">
      <c r="A27" s="15" t="s">
        <v>19</v>
      </c>
    </row>
    <row r="28" customFormat="false" ht="15" hidden="false" customHeight="false" outlineLevel="0" collapsed="false">
      <c r="A28" s="15" t="s">
        <v>20</v>
      </c>
    </row>
    <row r="29" customFormat="false" ht="15" hidden="false" customHeight="false" outlineLevel="0" collapsed="false">
      <c r="A29" s="15" t="s">
        <v>21</v>
      </c>
    </row>
    <row r="30" customFormat="false" ht="15" hidden="false" customHeight="false" outlineLevel="0" collapsed="false">
      <c r="A30" s="15" t="s">
        <v>22</v>
      </c>
    </row>
    <row r="31" customFormat="false" ht="15" hidden="false" customHeight="false" outlineLevel="0" collapsed="false">
      <c r="A31" s="1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0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1" t="s">
        <v>26</v>
      </c>
    </row>
    <row r="5" customFormat="false" ht="30" hidden="false" customHeight="true" outlineLevel="0" collapsed="false">
      <c r="A5" s="3" t="s">
        <v>27</v>
      </c>
      <c r="B5" s="3" t="s">
        <v>28</v>
      </c>
      <c r="C5" s="3" t="s">
        <v>29</v>
      </c>
    </row>
    <row r="6" customFormat="false" ht="15" hidden="false" customHeight="false" outlineLevel="0" collapsed="false">
      <c r="A6" s="16" t="s">
        <v>30</v>
      </c>
      <c r="B6" s="17" t="n">
        <v>9</v>
      </c>
      <c r="C6" s="18" t="s">
        <v>31</v>
      </c>
    </row>
    <row r="7" customFormat="false" ht="15" hidden="false" customHeight="false" outlineLevel="0" collapsed="false">
      <c r="A7" s="16" t="s">
        <v>32</v>
      </c>
      <c r="B7" s="17" t="n">
        <v>1</v>
      </c>
      <c r="C7" s="18" t="s">
        <v>33</v>
      </c>
    </row>
    <row r="8" customFormat="false" ht="15" hidden="false" customHeight="false" outlineLevel="0" collapsed="false">
      <c r="A8" s="16" t="s">
        <v>34</v>
      </c>
      <c r="B8" s="19" t="n">
        <v>50000</v>
      </c>
      <c r="C8" s="18" t="s">
        <v>35</v>
      </c>
    </row>
    <row r="9" customFormat="false" ht="15" hidden="false" customHeight="false" outlineLevel="0" collapsed="false">
      <c r="A9" s="16" t="s">
        <v>36</v>
      </c>
      <c r="B9" s="19" t="n">
        <v>0</v>
      </c>
      <c r="C9" s="18" t="s">
        <v>37</v>
      </c>
    </row>
    <row r="10" customFormat="false" ht="15" hidden="false" customHeight="false" outlineLevel="0" collapsed="false">
      <c r="A10" s="16" t="s">
        <v>38</v>
      </c>
      <c r="B10" s="19" t="n">
        <v>15000</v>
      </c>
      <c r="C10" s="18" t="s">
        <v>39</v>
      </c>
    </row>
    <row r="11" customFormat="false" ht="15" hidden="false" customHeight="false" outlineLevel="0" collapsed="false">
      <c r="A11" s="16" t="s">
        <v>40</v>
      </c>
      <c r="B11" s="20" t="n">
        <v>0.08</v>
      </c>
      <c r="C11" s="18" t="s">
        <v>41</v>
      </c>
    </row>
    <row r="13" customFormat="false" ht="15" hidden="false" customHeight="false" outlineLevel="0" collapsed="false">
      <c r="A13" s="11" t="s">
        <v>42</v>
      </c>
    </row>
    <row r="14" customFormat="false" ht="30" hidden="false" customHeight="true" outlineLevel="0" collapsed="false">
      <c r="A14" s="3" t="s">
        <v>43</v>
      </c>
      <c r="B14" s="3" t="s">
        <v>44</v>
      </c>
      <c r="C14" s="3" t="s">
        <v>45</v>
      </c>
      <c r="D14" s="3" t="s">
        <v>46</v>
      </c>
      <c r="E14" s="2" t="s">
        <v>47</v>
      </c>
    </row>
    <row r="15" customFormat="false" ht="15" hidden="false" customHeight="false" outlineLevel="0" collapsed="false">
      <c r="A15" s="16" t="s">
        <v>48</v>
      </c>
      <c r="B15" s="5" t="n">
        <f aca="false">'Baker Final Cost'!B10</f>
        <v>373417.9444</v>
      </c>
      <c r="C15" s="16" t="s">
        <v>49</v>
      </c>
      <c r="D15" s="18" t="s">
        <v>50</v>
      </c>
      <c r="E15" s="21" t="s">
        <v>51</v>
      </c>
    </row>
    <row r="16" customFormat="false" ht="15" hidden="false" customHeight="false" outlineLevel="0" collapsed="false">
      <c r="A16" s="16" t="s">
        <v>52</v>
      </c>
      <c r="B16" s="5" t="n">
        <f aca="false">'Mixer Final Cost'!B10</f>
        <v>74846.9312</v>
      </c>
      <c r="C16" s="16" t="s">
        <v>49</v>
      </c>
      <c r="D16" s="18" t="s">
        <v>53</v>
      </c>
      <c r="E16" s="21" t="s">
        <v>51</v>
      </c>
    </row>
    <row r="17" customFormat="false" ht="15" hidden="false" customHeight="false" outlineLevel="0" collapsed="false">
      <c r="A17" s="16" t="s">
        <v>54</v>
      </c>
      <c r="B17" s="22" t="n">
        <v>100000</v>
      </c>
      <c r="C17" s="16" t="s">
        <v>55</v>
      </c>
      <c r="D17" s="18" t="s">
        <v>56</v>
      </c>
      <c r="E17" s="21" t="s">
        <v>57</v>
      </c>
    </row>
    <row r="18" customFormat="false" ht="15" hidden="false" customHeight="false" outlineLevel="0" collapsed="false">
      <c r="A18" s="16" t="s">
        <v>58</v>
      </c>
      <c r="B18" s="22" t="n">
        <v>60000</v>
      </c>
      <c r="C18" s="16" t="s">
        <v>55</v>
      </c>
      <c r="D18" s="18" t="s">
        <v>59</v>
      </c>
      <c r="E18" s="21" t="s">
        <v>57</v>
      </c>
    </row>
    <row r="19" customFormat="false" ht="15" hidden="false" customHeight="false" outlineLevel="0" collapsed="false">
      <c r="A19" s="16" t="s">
        <v>60</v>
      </c>
      <c r="B19" s="22" t="n">
        <v>60000</v>
      </c>
      <c r="C19" s="16" t="s">
        <v>55</v>
      </c>
      <c r="D19" s="18" t="s">
        <v>61</v>
      </c>
      <c r="E19" s="21" t="s">
        <v>57</v>
      </c>
    </row>
    <row r="20" customFormat="false" ht="15" hidden="false" customHeight="false" outlineLevel="0" collapsed="false">
      <c r="A20" s="16" t="s">
        <v>62</v>
      </c>
      <c r="B20" s="7" t="n">
        <f aca="false">$B$7*$B$8*$B$6</f>
        <v>450000</v>
      </c>
      <c r="C20" s="16" t="s">
        <v>63</v>
      </c>
      <c r="D20" s="18" t="s">
        <v>64</v>
      </c>
      <c r="E20" s="21" t="s">
        <v>57</v>
      </c>
    </row>
    <row r="21" customFormat="false" ht="15" hidden="false" customHeight="false" outlineLevel="0" collapsed="false">
      <c r="A21" s="16" t="s">
        <v>65</v>
      </c>
      <c r="B21" s="7" t="n">
        <f aca="false">$B$9*$B$6</f>
        <v>0</v>
      </c>
      <c r="C21" s="16" t="s">
        <v>63</v>
      </c>
      <c r="D21" s="18" t="s">
        <v>66</v>
      </c>
      <c r="E21" s="21" t="s">
        <v>57</v>
      </c>
    </row>
    <row r="22" customFormat="false" ht="15" hidden="false" customHeight="false" outlineLevel="0" collapsed="false">
      <c r="A22" s="16" t="s">
        <v>67</v>
      </c>
      <c r="B22" s="7" t="n">
        <f aca="false">$B$10*$B$6</f>
        <v>135000</v>
      </c>
      <c r="C22" s="16" t="s">
        <v>68</v>
      </c>
      <c r="D22" s="18" t="s">
        <v>69</v>
      </c>
      <c r="E22" s="21" t="s">
        <v>57</v>
      </c>
    </row>
    <row r="23" customFormat="false" ht="15" hidden="false" customHeight="false" outlineLevel="0" collapsed="false">
      <c r="A23" s="16" t="s">
        <v>70</v>
      </c>
      <c r="B23" s="22" t="n">
        <v>100000</v>
      </c>
      <c r="C23" s="16" t="s">
        <v>71</v>
      </c>
      <c r="D23" s="18" t="s">
        <v>72</v>
      </c>
      <c r="E23" s="21" t="s">
        <v>57</v>
      </c>
    </row>
    <row r="24" customFormat="false" ht="15" hidden="false" customHeight="false" outlineLevel="0" collapsed="false">
      <c r="A24" s="16" t="s">
        <v>73</v>
      </c>
      <c r="B24" s="22" t="n">
        <v>50000</v>
      </c>
      <c r="C24" s="16" t="s">
        <v>71</v>
      </c>
      <c r="D24" s="18" t="s">
        <v>74</v>
      </c>
      <c r="E24" s="21" t="s">
        <v>57</v>
      </c>
    </row>
    <row r="25" customFormat="false" ht="15" hidden="false" customHeight="false" outlineLevel="0" collapsed="false">
      <c r="A25" s="16" t="s">
        <v>75</v>
      </c>
      <c r="B25" s="22" t="n">
        <v>75000</v>
      </c>
      <c r="C25" s="16" t="s">
        <v>76</v>
      </c>
      <c r="D25" s="18" t="s">
        <v>77</v>
      </c>
      <c r="E25" s="21" t="s">
        <v>57</v>
      </c>
    </row>
    <row r="26" customFormat="false" ht="15" hidden="false" customHeight="false" outlineLevel="0" collapsed="false">
      <c r="A26" s="16" t="s">
        <v>78</v>
      </c>
      <c r="B26" s="22" t="n">
        <v>50000</v>
      </c>
      <c r="C26" s="16" t="s">
        <v>76</v>
      </c>
      <c r="D26" s="18" t="s">
        <v>79</v>
      </c>
      <c r="E26" s="21" t="s">
        <v>57</v>
      </c>
    </row>
    <row r="27" customFormat="false" ht="15" hidden="false" customHeight="false" outlineLevel="0" collapsed="false">
      <c r="A27" s="4" t="s">
        <v>80</v>
      </c>
      <c r="B27" s="23" t="n">
        <f aca="false">SUM(B15:B26)</f>
        <v>1528264.8756</v>
      </c>
      <c r="C27" s="24"/>
      <c r="D27" s="24"/>
    </row>
    <row r="28" customFormat="false" ht="15" hidden="false" customHeight="false" outlineLevel="0" collapsed="false">
      <c r="A28" s="16" t="s">
        <v>81</v>
      </c>
      <c r="B28" s="25" t="n">
        <f aca="false">SUMIF(E15:E26,"N",B15:B26)</f>
        <v>1080000</v>
      </c>
      <c r="C28" s="24"/>
      <c r="D28" s="24"/>
    </row>
    <row r="29" customFormat="false" ht="15" hidden="false" customHeight="false" outlineLevel="0" collapsed="false">
      <c r="A29" s="26" t="s">
        <v>82</v>
      </c>
      <c r="B29" s="27" t="n">
        <f aca="false">ROUND((B27+B28*$B$11)/100000,0)*100000</f>
        <v>1600000</v>
      </c>
      <c r="C29" s="28"/>
      <c r="D29" s="28"/>
    </row>
    <row r="30" customFormat="false" ht="15" hidden="false" customHeight="false" outlineLevel="0" collapsed="false">
      <c r="A30" s="16" t="s">
        <v>83</v>
      </c>
      <c r="B30" s="25" t="n">
        <f aca="false">B29-B27</f>
        <v>71735.1244000001</v>
      </c>
      <c r="C30" s="29" t="n">
        <f aca="false">IF(B28=0,0,B30/B28)</f>
        <v>0.0664214114814816</v>
      </c>
      <c r="D30" s="18" t="s">
        <v>84</v>
      </c>
    </row>
    <row r="32" customFormat="false" ht="15" hidden="false" customHeight="false" outlineLevel="0" collapsed="false">
      <c r="A32" s="11" t="s">
        <v>85</v>
      </c>
    </row>
    <row r="33" customFormat="false" ht="30" hidden="false" customHeight="true" outlineLevel="0" collapsed="false">
      <c r="A33" s="3" t="s">
        <v>45</v>
      </c>
      <c r="B33" s="3" t="s">
        <v>44</v>
      </c>
      <c r="C33" s="3" t="s">
        <v>86</v>
      </c>
    </row>
    <row r="34" customFormat="false" ht="15" hidden="false" customHeight="false" outlineLevel="0" collapsed="false">
      <c r="A34" s="16" t="s">
        <v>49</v>
      </c>
      <c r="B34" s="7" t="n">
        <f aca="false">SUMIF($C$15:$C$26,A34,$B$15:$B$26)</f>
        <v>448264.8756</v>
      </c>
      <c r="C34" s="30" t="n">
        <f aca="false">IF($B$29=0,0,B34/$B$29)</f>
        <v>0.28016554725</v>
      </c>
    </row>
    <row r="35" customFormat="false" ht="15" hidden="false" customHeight="false" outlineLevel="0" collapsed="false">
      <c r="A35" s="16" t="s">
        <v>55</v>
      </c>
      <c r="B35" s="7" t="n">
        <f aca="false">SUMIF($C$15:$C$26,A35,$B$15:$B$26)</f>
        <v>220000</v>
      </c>
      <c r="C35" s="30" t="n">
        <f aca="false">IF($B$29=0,0,B35/$B$29)</f>
        <v>0.1375</v>
      </c>
    </row>
    <row r="36" customFormat="false" ht="15" hidden="false" customHeight="false" outlineLevel="0" collapsed="false">
      <c r="A36" s="16" t="s">
        <v>63</v>
      </c>
      <c r="B36" s="7" t="n">
        <f aca="false">SUMIF($C$15:$C$26,A36,$B$15:$B$26)</f>
        <v>450000</v>
      </c>
      <c r="C36" s="30" t="n">
        <f aca="false">IF($B$29=0,0,B36/$B$29)</f>
        <v>0.28125</v>
      </c>
    </row>
    <row r="37" customFormat="false" ht="15" hidden="false" customHeight="false" outlineLevel="0" collapsed="false">
      <c r="A37" s="16" t="s">
        <v>68</v>
      </c>
      <c r="B37" s="7" t="n">
        <f aca="false">SUMIF($C$15:$C$26,A37,$B$15:$B$26)</f>
        <v>135000</v>
      </c>
      <c r="C37" s="30" t="n">
        <f aca="false">IF($B$29=0,0,B37/$B$29)</f>
        <v>0.084375</v>
      </c>
    </row>
    <row r="38" customFormat="false" ht="15" hidden="false" customHeight="false" outlineLevel="0" collapsed="false">
      <c r="A38" s="16" t="s">
        <v>71</v>
      </c>
      <c r="B38" s="7" t="n">
        <f aca="false">SUMIF($C$15:$C$26,A38,$B$15:$B$26)</f>
        <v>150000</v>
      </c>
      <c r="C38" s="30" t="n">
        <f aca="false">IF($B$29=0,0,B38/$B$29)</f>
        <v>0.09375</v>
      </c>
    </row>
    <row r="39" customFormat="false" ht="15" hidden="false" customHeight="false" outlineLevel="0" collapsed="false">
      <c r="A39" s="16" t="s">
        <v>76</v>
      </c>
      <c r="B39" s="7" t="n">
        <f aca="false">SUMIF($C$15:$C$26,A39,$B$15:$B$26)+B30</f>
        <v>196735.1244</v>
      </c>
      <c r="C39" s="30" t="n">
        <f aca="false">IF($B$29=0,0,B39/$B$29)</f>
        <v>0.12295945275</v>
      </c>
    </row>
    <row r="40" customFormat="false" ht="15" hidden="false" customHeight="false" outlineLevel="0" collapsed="false">
      <c r="A40" s="2" t="s">
        <v>87</v>
      </c>
      <c r="B40" s="31" t="str">
        <f aca="false">IF(ABS(SUM(B34:B39)-B29)&lt;1,"OK","MISMATCH")</f>
        <v>OK</v>
      </c>
    </row>
    <row r="42" customFormat="false" ht="15" hidden="false" customHeight="false" outlineLevel="0" collapsed="false">
      <c r="A42" s="11" t="s">
        <v>88</v>
      </c>
    </row>
    <row r="43" customFormat="false" ht="30" hidden="false" customHeight="true" outlineLevel="0" collapsed="false">
      <c r="A43" s="3" t="s">
        <v>89</v>
      </c>
      <c r="B43" s="3" t="s">
        <v>90</v>
      </c>
      <c r="C43" s="3" t="s">
        <v>91</v>
      </c>
      <c r="D43" s="3" t="s">
        <v>92</v>
      </c>
    </row>
    <row r="44" customFormat="false" ht="30" hidden="false" customHeight="true" outlineLevel="0" collapsed="false">
      <c r="A44" s="16" t="s">
        <v>93</v>
      </c>
      <c r="B44" s="22" t="n">
        <v>1000000</v>
      </c>
      <c r="C44" s="24" t="s">
        <v>94</v>
      </c>
      <c r="D44" s="32" t="s">
        <v>95</v>
      </c>
    </row>
    <row r="45" customFormat="false" ht="30" hidden="false" customHeight="true" outlineLevel="0" collapsed="false">
      <c r="A45" s="33" t="s">
        <v>96</v>
      </c>
      <c r="B45" s="34" t="n">
        <f aca="false">B29</f>
        <v>1600000</v>
      </c>
      <c r="C45" s="28" t="str">
        <f aca="false">B6&amp;" months"</f>
        <v>9 months</v>
      </c>
      <c r="D45" s="35" t="s">
        <v>97</v>
      </c>
    </row>
    <row r="46" customFormat="false" ht="30" hidden="false" customHeight="true" outlineLevel="0" collapsed="false">
      <c r="A46" s="16" t="s">
        <v>98</v>
      </c>
      <c r="B46" s="7" t="n">
        <f aca="false">ROUND((B29+'Baker Final Cost'!B10+$B$8*$B$6+250000)/100000,0)*100000</f>
        <v>2700000</v>
      </c>
      <c r="C46" s="24" t="str">
        <f aca="false">B6&amp;" months"</f>
        <v>9 months</v>
      </c>
      <c r="D46" s="32" t="s">
        <v>99</v>
      </c>
    </row>
    <row r="47" customFormat="false" ht="15" hidden="false" customHeight="false" outlineLevel="0" collapsed="false">
      <c r="A47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0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</row>
    <row r="5" customFormat="false" ht="15" hidden="false" customHeight="false" outlineLevel="0" collapsed="false">
      <c r="A5" s="36" t="n">
        <v>1</v>
      </c>
      <c r="B5" s="36" t="s">
        <v>115</v>
      </c>
      <c r="C5" s="36" t="s">
        <v>116</v>
      </c>
      <c r="D5" s="37" t="s">
        <v>117</v>
      </c>
      <c r="E5" s="38" t="n">
        <v>8</v>
      </c>
      <c r="F5" s="39" t="n">
        <v>949</v>
      </c>
      <c r="G5" s="38" t="s">
        <v>118</v>
      </c>
      <c r="H5" s="40" t="n">
        <f aca="false">IF(G5="USD",F5*Inputs!$B$5,F5)</f>
        <v>949</v>
      </c>
      <c r="I5" s="41" t="n">
        <f aca="false">E5*H5</f>
        <v>7592</v>
      </c>
      <c r="J5" s="36" t="str">
        <f aca="false">IF(G5="USD","Yes","No")</f>
        <v>No</v>
      </c>
      <c r="K5" s="36" t="s">
        <v>119</v>
      </c>
      <c r="L5" s="36" t="s">
        <v>120</v>
      </c>
    </row>
    <row r="6" customFormat="false" ht="15" hidden="false" customHeight="false" outlineLevel="0" collapsed="false">
      <c r="A6" s="16" t="n">
        <v>2</v>
      </c>
      <c r="B6" s="16" t="s">
        <v>115</v>
      </c>
      <c r="C6" s="16" t="s">
        <v>116</v>
      </c>
      <c r="D6" s="42" t="s">
        <v>121</v>
      </c>
      <c r="E6" s="43" t="n">
        <v>1</v>
      </c>
      <c r="F6" s="22" t="n">
        <v>2500</v>
      </c>
      <c r="G6" s="43" t="s">
        <v>118</v>
      </c>
      <c r="H6" s="5" t="n">
        <f aca="false">IF(G6="USD",F6*Inputs!$B$5,F6)</f>
        <v>2500</v>
      </c>
      <c r="I6" s="7" t="n">
        <f aca="false">E6*H6</f>
        <v>2500</v>
      </c>
      <c r="J6" s="16" t="str">
        <f aca="false">IF(G6="USD","Yes","No")</f>
        <v>No</v>
      </c>
      <c r="K6" s="16" t="s">
        <v>122</v>
      </c>
      <c r="L6" s="16"/>
    </row>
    <row r="7" customFormat="false" ht="15" hidden="false" customHeight="false" outlineLevel="0" collapsed="false">
      <c r="A7" s="16" t="n">
        <v>3</v>
      </c>
      <c r="B7" s="16" t="s">
        <v>115</v>
      </c>
      <c r="C7" s="16" t="s">
        <v>116</v>
      </c>
      <c r="D7" s="42" t="s">
        <v>123</v>
      </c>
      <c r="E7" s="43" t="n">
        <v>3</v>
      </c>
      <c r="F7" s="22" t="n">
        <v>375</v>
      </c>
      <c r="G7" s="43" t="s">
        <v>118</v>
      </c>
      <c r="H7" s="5" t="n">
        <f aca="false">IF(G7="USD",F7*Inputs!$B$5,F7)</f>
        <v>375</v>
      </c>
      <c r="I7" s="7" t="n">
        <f aca="false">E7*H7</f>
        <v>1125</v>
      </c>
      <c r="J7" s="16" t="str">
        <f aca="false">IF(G7="USD","Yes","No")</f>
        <v>No</v>
      </c>
      <c r="K7" s="16" t="s">
        <v>119</v>
      </c>
      <c r="L7" s="16" t="s">
        <v>124</v>
      </c>
    </row>
    <row r="8" customFormat="false" ht="15" hidden="false" customHeight="false" outlineLevel="0" collapsed="false">
      <c r="A8" s="16" t="n">
        <v>4</v>
      </c>
      <c r="B8" s="16" t="s">
        <v>115</v>
      </c>
      <c r="C8" s="16" t="s">
        <v>116</v>
      </c>
      <c r="D8" s="42" t="s">
        <v>125</v>
      </c>
      <c r="E8" s="43" t="n">
        <v>4</v>
      </c>
      <c r="F8" s="22" t="n">
        <v>900</v>
      </c>
      <c r="G8" s="43" t="s">
        <v>118</v>
      </c>
      <c r="H8" s="5" t="n">
        <f aca="false">IF(G8="USD",F8*Inputs!$B$5,F8)</f>
        <v>900</v>
      </c>
      <c r="I8" s="7" t="n">
        <f aca="false">E8*H8</f>
        <v>3600</v>
      </c>
      <c r="J8" s="16" t="str">
        <f aca="false">IF(G8="USD","Yes","No")</f>
        <v>No</v>
      </c>
      <c r="K8" s="16" t="s">
        <v>122</v>
      </c>
      <c r="L8" s="16" t="s">
        <v>126</v>
      </c>
    </row>
    <row r="9" customFormat="false" ht="15" hidden="false" customHeight="false" outlineLevel="0" collapsed="false">
      <c r="A9" s="16" t="n">
        <v>5</v>
      </c>
      <c r="B9" s="16" t="s">
        <v>115</v>
      </c>
      <c r="C9" s="16" t="s">
        <v>116</v>
      </c>
      <c r="D9" s="42" t="s">
        <v>127</v>
      </c>
      <c r="E9" s="43" t="n">
        <v>1</v>
      </c>
      <c r="F9" s="22" t="n">
        <v>2500</v>
      </c>
      <c r="G9" s="43" t="s">
        <v>118</v>
      </c>
      <c r="H9" s="5" t="n">
        <f aca="false">IF(G9="USD",F9*Inputs!$B$5,F9)</f>
        <v>2500</v>
      </c>
      <c r="I9" s="7" t="n">
        <f aca="false">E9*H9</f>
        <v>2500</v>
      </c>
      <c r="J9" s="16" t="str">
        <f aca="false">IF(G9="USD","Yes","No")</f>
        <v>No</v>
      </c>
      <c r="K9" s="16" t="s">
        <v>122</v>
      </c>
      <c r="L9" s="16" t="s">
        <v>128</v>
      </c>
    </row>
    <row r="10" customFormat="false" ht="15" hidden="false" customHeight="false" outlineLevel="0" collapsed="false">
      <c r="A10" s="16" t="n">
        <v>6</v>
      </c>
      <c r="B10" s="16" t="s">
        <v>115</v>
      </c>
      <c r="C10" s="16" t="s">
        <v>116</v>
      </c>
      <c r="D10" s="42" t="s">
        <v>129</v>
      </c>
      <c r="E10" s="43" t="n">
        <v>2</v>
      </c>
      <c r="F10" s="22" t="n">
        <v>44</v>
      </c>
      <c r="G10" s="43" t="s">
        <v>118</v>
      </c>
      <c r="H10" s="5" t="n">
        <f aca="false">IF(G10="USD",F10*Inputs!$B$5,F10)</f>
        <v>44</v>
      </c>
      <c r="I10" s="7" t="n">
        <f aca="false">E10*H10</f>
        <v>88</v>
      </c>
      <c r="J10" s="16" t="str">
        <f aca="false">IF(G10="USD","Yes","No")</f>
        <v>No</v>
      </c>
      <c r="K10" s="16" t="s">
        <v>119</v>
      </c>
      <c r="L10" s="16" t="s">
        <v>120</v>
      </c>
    </row>
    <row r="11" customFormat="false" ht="15" hidden="false" customHeight="false" outlineLevel="0" collapsed="false">
      <c r="A11" s="16" t="n">
        <v>7</v>
      </c>
      <c r="B11" s="16" t="s">
        <v>115</v>
      </c>
      <c r="C11" s="16" t="s">
        <v>116</v>
      </c>
      <c r="D11" s="42" t="s">
        <v>130</v>
      </c>
      <c r="E11" s="43" t="n">
        <v>1</v>
      </c>
      <c r="F11" s="22" t="n">
        <v>200</v>
      </c>
      <c r="G11" s="43" t="s">
        <v>118</v>
      </c>
      <c r="H11" s="5" t="n">
        <f aca="false">IF(G11="USD",F11*Inputs!$B$5,F11)</f>
        <v>200</v>
      </c>
      <c r="I11" s="7" t="n">
        <f aca="false">E11*H11</f>
        <v>200</v>
      </c>
      <c r="J11" s="16" t="str">
        <f aca="false">IF(G11="USD","Yes","No")</f>
        <v>No</v>
      </c>
      <c r="K11" s="16" t="s">
        <v>119</v>
      </c>
      <c r="L11" s="16" t="s">
        <v>120</v>
      </c>
    </row>
    <row r="12" customFormat="false" ht="15" hidden="false" customHeight="false" outlineLevel="0" collapsed="false">
      <c r="A12" s="16" t="n">
        <v>8</v>
      </c>
      <c r="B12" s="16" t="s">
        <v>115</v>
      </c>
      <c r="C12" s="16" t="s">
        <v>116</v>
      </c>
      <c r="D12" s="42" t="s">
        <v>131</v>
      </c>
      <c r="E12" s="43" t="n">
        <v>2</v>
      </c>
      <c r="F12" s="44" t="n">
        <v>29.49</v>
      </c>
      <c r="G12" s="43" t="s">
        <v>132</v>
      </c>
      <c r="H12" s="5" t="n">
        <f aca="false">IF(G12="USD",F12*Inputs!$B$5,F12)</f>
        <v>2595.12</v>
      </c>
      <c r="I12" s="7" t="n">
        <f aca="false">E12*H12</f>
        <v>5190.24</v>
      </c>
      <c r="J12" s="16" t="str">
        <f aca="false">IF(G12="USD","Yes","No")</f>
        <v>Yes</v>
      </c>
      <c r="K12" s="16" t="s">
        <v>119</v>
      </c>
      <c r="L12" s="16" t="s">
        <v>133</v>
      </c>
    </row>
    <row r="13" customFormat="false" ht="15" hidden="false" customHeight="false" outlineLevel="0" collapsed="false">
      <c r="A13" s="36" t="n">
        <v>9</v>
      </c>
      <c r="B13" s="36" t="s">
        <v>134</v>
      </c>
      <c r="C13" s="36" t="s">
        <v>135</v>
      </c>
      <c r="D13" s="37" t="s">
        <v>136</v>
      </c>
      <c r="E13" s="38" t="n">
        <v>3</v>
      </c>
      <c r="F13" s="39" t="n">
        <v>15000</v>
      </c>
      <c r="G13" s="38" t="s">
        <v>118</v>
      </c>
      <c r="H13" s="40" t="n">
        <f aca="false">IF(G13="USD",F13*Inputs!$B$5,F13)</f>
        <v>15000</v>
      </c>
      <c r="I13" s="41" t="n">
        <f aca="false">E13*H13</f>
        <v>45000</v>
      </c>
      <c r="J13" s="36" t="str">
        <f aca="false">IF(G13="USD","Yes","No")</f>
        <v>No</v>
      </c>
      <c r="K13" s="36" t="s">
        <v>119</v>
      </c>
      <c r="L13" s="36" t="s">
        <v>124</v>
      </c>
    </row>
    <row r="14" customFormat="false" ht="15" hidden="false" customHeight="false" outlineLevel="0" collapsed="false">
      <c r="A14" s="16" t="n">
        <v>10</v>
      </c>
      <c r="B14" s="16" t="s">
        <v>134</v>
      </c>
      <c r="C14" s="16" t="s">
        <v>135</v>
      </c>
      <c r="D14" s="42" t="s">
        <v>137</v>
      </c>
      <c r="E14" s="43" t="n">
        <v>3</v>
      </c>
      <c r="F14" s="22" t="n">
        <v>1529</v>
      </c>
      <c r="G14" s="43" t="s">
        <v>118</v>
      </c>
      <c r="H14" s="5" t="n">
        <f aca="false">IF(G14="USD",F14*Inputs!$B$5,F14)</f>
        <v>1529</v>
      </c>
      <c r="I14" s="7" t="n">
        <f aca="false">E14*H14</f>
        <v>4587</v>
      </c>
      <c r="J14" s="16" t="str">
        <f aca="false">IF(G14="USD","Yes","No")</f>
        <v>No</v>
      </c>
      <c r="K14" s="16" t="s">
        <v>119</v>
      </c>
      <c r="L14" s="16" t="s">
        <v>120</v>
      </c>
    </row>
    <row r="15" customFormat="false" ht="15" hidden="false" customHeight="false" outlineLevel="0" collapsed="false">
      <c r="A15" s="16" t="n">
        <v>11</v>
      </c>
      <c r="B15" s="16" t="s">
        <v>134</v>
      </c>
      <c r="C15" s="16" t="s">
        <v>135</v>
      </c>
      <c r="D15" s="42" t="s">
        <v>138</v>
      </c>
      <c r="E15" s="43" t="n">
        <v>2</v>
      </c>
      <c r="F15" s="44" t="n">
        <v>84.99</v>
      </c>
      <c r="G15" s="43" t="s">
        <v>132</v>
      </c>
      <c r="H15" s="5" t="n">
        <f aca="false">IF(G15="USD",F15*Inputs!$B$5,F15)</f>
        <v>7479.12</v>
      </c>
      <c r="I15" s="7" t="n">
        <f aca="false">E15*H15</f>
        <v>14958.24</v>
      </c>
      <c r="J15" s="16" t="str">
        <f aca="false">IF(G15="USD","Yes","No")</f>
        <v>Yes</v>
      </c>
      <c r="K15" s="16" t="s">
        <v>119</v>
      </c>
      <c r="L15" s="16" t="s">
        <v>139</v>
      </c>
    </row>
    <row r="16" customFormat="false" ht="15" hidden="false" customHeight="false" outlineLevel="0" collapsed="false">
      <c r="A16" s="16" t="n">
        <v>12</v>
      </c>
      <c r="B16" s="16" t="s">
        <v>134</v>
      </c>
      <c r="C16" s="16" t="s">
        <v>135</v>
      </c>
      <c r="D16" s="42" t="s">
        <v>140</v>
      </c>
      <c r="E16" s="43" t="n">
        <v>3</v>
      </c>
      <c r="F16" s="22" t="n">
        <v>847</v>
      </c>
      <c r="G16" s="43" t="s">
        <v>118</v>
      </c>
      <c r="H16" s="5" t="n">
        <f aca="false">IF(G16="USD",F16*Inputs!$B$5,F16)</f>
        <v>847</v>
      </c>
      <c r="I16" s="7" t="n">
        <f aca="false">E16*H16</f>
        <v>2541</v>
      </c>
      <c r="J16" s="16" t="str">
        <f aca="false">IF(G16="USD","Yes","No")</f>
        <v>No</v>
      </c>
      <c r="K16" s="16" t="s">
        <v>119</v>
      </c>
      <c r="L16" s="16" t="s">
        <v>141</v>
      </c>
    </row>
    <row r="17" customFormat="false" ht="15" hidden="false" customHeight="false" outlineLevel="0" collapsed="false">
      <c r="A17" s="16" t="n">
        <v>13</v>
      </c>
      <c r="B17" s="16" t="s">
        <v>134</v>
      </c>
      <c r="C17" s="16" t="s">
        <v>135</v>
      </c>
      <c r="D17" s="42" t="s">
        <v>142</v>
      </c>
      <c r="E17" s="43" t="n">
        <v>6</v>
      </c>
      <c r="F17" s="22" t="n">
        <v>980</v>
      </c>
      <c r="G17" s="43" t="s">
        <v>118</v>
      </c>
      <c r="H17" s="5" t="n">
        <f aca="false">IF(G17="USD",F17*Inputs!$B$5,F17)</f>
        <v>980</v>
      </c>
      <c r="I17" s="7" t="n">
        <f aca="false">E17*H17</f>
        <v>5880</v>
      </c>
      <c r="J17" s="16" t="str">
        <f aca="false">IF(G17="USD","Yes","No")</f>
        <v>No</v>
      </c>
      <c r="K17" s="16" t="s">
        <v>119</v>
      </c>
      <c r="L17" s="16" t="s">
        <v>120</v>
      </c>
    </row>
    <row r="18" customFormat="false" ht="15" hidden="false" customHeight="false" outlineLevel="0" collapsed="false">
      <c r="A18" s="16" t="n">
        <v>14</v>
      </c>
      <c r="B18" s="16" t="s">
        <v>134</v>
      </c>
      <c r="C18" s="16" t="s">
        <v>135</v>
      </c>
      <c r="D18" s="42" t="s">
        <v>143</v>
      </c>
      <c r="E18" s="43" t="n">
        <v>8</v>
      </c>
      <c r="F18" s="22" t="n">
        <v>619</v>
      </c>
      <c r="G18" s="43" t="s">
        <v>118</v>
      </c>
      <c r="H18" s="5" t="n">
        <f aca="false">IF(G18="USD",F18*Inputs!$B$5,F18)</f>
        <v>619</v>
      </c>
      <c r="I18" s="7" t="n">
        <f aca="false">E18*H18</f>
        <v>4952</v>
      </c>
      <c r="J18" s="16" t="str">
        <f aca="false">IF(G18="USD","Yes","No")</f>
        <v>No</v>
      </c>
      <c r="K18" s="16" t="s">
        <v>119</v>
      </c>
      <c r="L18" s="16" t="s">
        <v>120</v>
      </c>
    </row>
    <row r="19" customFormat="false" ht="15" hidden="false" customHeight="false" outlineLevel="0" collapsed="false">
      <c r="A19" s="16" t="n">
        <v>15</v>
      </c>
      <c r="B19" s="16" t="s">
        <v>134</v>
      </c>
      <c r="C19" s="16" t="s">
        <v>135</v>
      </c>
      <c r="D19" s="42" t="s">
        <v>144</v>
      </c>
      <c r="E19" s="43" t="n">
        <v>10</v>
      </c>
      <c r="F19" s="22" t="n">
        <v>41</v>
      </c>
      <c r="G19" s="43" t="s">
        <v>118</v>
      </c>
      <c r="H19" s="5" t="n">
        <f aca="false">IF(G19="USD",F19*Inputs!$B$5,F19)</f>
        <v>41</v>
      </c>
      <c r="I19" s="7" t="n">
        <f aca="false">E19*H19</f>
        <v>410</v>
      </c>
      <c r="J19" s="16" t="str">
        <f aca="false">IF(G19="USD","Yes","No")</f>
        <v>No</v>
      </c>
      <c r="K19" s="16" t="s">
        <v>119</v>
      </c>
      <c r="L19" s="16" t="s">
        <v>120</v>
      </c>
    </row>
    <row r="20" customFormat="false" ht="15" hidden="false" customHeight="false" outlineLevel="0" collapsed="false">
      <c r="A20" s="16" t="n">
        <v>16</v>
      </c>
      <c r="B20" s="16" t="s">
        <v>134</v>
      </c>
      <c r="C20" s="16" t="s">
        <v>135</v>
      </c>
      <c r="D20" s="42" t="s">
        <v>145</v>
      </c>
      <c r="E20" s="43" t="n">
        <v>3</v>
      </c>
      <c r="F20" s="22" t="n">
        <v>264</v>
      </c>
      <c r="G20" s="43" t="s">
        <v>118</v>
      </c>
      <c r="H20" s="5" t="n">
        <f aca="false">IF(G20="USD",F20*Inputs!$B$5,F20)</f>
        <v>264</v>
      </c>
      <c r="I20" s="7" t="n">
        <f aca="false">E20*H20</f>
        <v>792</v>
      </c>
      <c r="J20" s="16" t="str">
        <f aca="false">IF(G20="USD","Yes","No")</f>
        <v>No</v>
      </c>
      <c r="K20" s="16" t="s">
        <v>119</v>
      </c>
      <c r="L20" s="16" t="s">
        <v>146</v>
      </c>
    </row>
    <row r="21" customFormat="false" ht="15" hidden="false" customHeight="false" outlineLevel="0" collapsed="false">
      <c r="A21" s="16" t="n">
        <v>17</v>
      </c>
      <c r="B21" s="16" t="s">
        <v>134</v>
      </c>
      <c r="C21" s="16" t="s">
        <v>135</v>
      </c>
      <c r="D21" s="42" t="s">
        <v>147</v>
      </c>
      <c r="E21" s="43" t="n">
        <v>4</v>
      </c>
      <c r="F21" s="22" t="n">
        <v>269</v>
      </c>
      <c r="G21" s="43" t="s">
        <v>118</v>
      </c>
      <c r="H21" s="5" t="n">
        <f aca="false">IF(G21="USD",F21*Inputs!$B$5,F21)</f>
        <v>269</v>
      </c>
      <c r="I21" s="7" t="n">
        <f aca="false">E21*H21</f>
        <v>1076</v>
      </c>
      <c r="J21" s="16" t="str">
        <f aca="false">IF(G21="USD","Yes","No")</f>
        <v>No</v>
      </c>
      <c r="K21" s="16" t="s">
        <v>119</v>
      </c>
      <c r="L21" s="16" t="s">
        <v>120</v>
      </c>
    </row>
    <row r="22" customFormat="false" ht="15" hidden="false" customHeight="false" outlineLevel="0" collapsed="false">
      <c r="A22" s="16" t="n">
        <v>18</v>
      </c>
      <c r="B22" s="16" t="s">
        <v>134</v>
      </c>
      <c r="C22" s="16" t="s">
        <v>135</v>
      </c>
      <c r="D22" s="42" t="s">
        <v>148</v>
      </c>
      <c r="E22" s="43" t="n">
        <v>3</v>
      </c>
      <c r="F22" s="22" t="n">
        <v>62</v>
      </c>
      <c r="G22" s="43" t="s">
        <v>118</v>
      </c>
      <c r="H22" s="5" t="n">
        <f aca="false">IF(G22="USD",F22*Inputs!$B$5,F22)</f>
        <v>62</v>
      </c>
      <c r="I22" s="7" t="n">
        <f aca="false">E22*H22</f>
        <v>186</v>
      </c>
      <c r="J22" s="16" t="str">
        <f aca="false">IF(G22="USD","Yes","No")</f>
        <v>No</v>
      </c>
      <c r="K22" s="16" t="s">
        <v>119</v>
      </c>
      <c r="L22" s="16" t="s">
        <v>120</v>
      </c>
    </row>
    <row r="23" customFormat="false" ht="15" hidden="false" customHeight="false" outlineLevel="0" collapsed="false">
      <c r="A23" s="36" t="n">
        <v>19</v>
      </c>
      <c r="B23" s="36" t="s">
        <v>149</v>
      </c>
      <c r="C23" s="36" t="s">
        <v>150</v>
      </c>
      <c r="D23" s="37" t="s">
        <v>151</v>
      </c>
      <c r="E23" s="38" t="n">
        <v>1</v>
      </c>
      <c r="F23" s="45" t="n">
        <v>85.99</v>
      </c>
      <c r="G23" s="38" t="s">
        <v>132</v>
      </c>
      <c r="H23" s="40" t="n">
        <f aca="false">IF(G23="USD",F23*Inputs!$B$5,F23)</f>
        <v>7567.12</v>
      </c>
      <c r="I23" s="41" t="n">
        <f aca="false">E23*H23</f>
        <v>7567.12</v>
      </c>
      <c r="J23" s="36" t="str">
        <f aca="false">IF(G23="USD","Yes","No")</f>
        <v>Yes</v>
      </c>
      <c r="K23" s="36" t="s">
        <v>119</v>
      </c>
      <c r="L23" s="36" t="s">
        <v>152</v>
      </c>
    </row>
    <row r="24" customFormat="false" ht="15" hidden="false" customHeight="false" outlineLevel="0" collapsed="false">
      <c r="A24" s="16" t="n">
        <v>20</v>
      </c>
      <c r="B24" s="16" t="s">
        <v>149</v>
      </c>
      <c r="C24" s="16" t="s">
        <v>150</v>
      </c>
      <c r="D24" s="42" t="s">
        <v>153</v>
      </c>
      <c r="E24" s="43" t="n">
        <v>1</v>
      </c>
      <c r="F24" s="22" t="n">
        <v>3721</v>
      </c>
      <c r="G24" s="43" t="s">
        <v>118</v>
      </c>
      <c r="H24" s="5" t="n">
        <f aca="false">IF(G24="USD",F24*Inputs!$B$5,F24)</f>
        <v>3721</v>
      </c>
      <c r="I24" s="7" t="n">
        <f aca="false">E24*H24</f>
        <v>3721</v>
      </c>
      <c r="J24" s="16" t="str">
        <f aca="false">IF(G24="USD","Yes","No")</f>
        <v>No</v>
      </c>
      <c r="K24" s="16" t="s">
        <v>119</v>
      </c>
      <c r="L24" s="16" t="s">
        <v>154</v>
      </c>
    </row>
    <row r="25" customFormat="false" ht="15" hidden="false" customHeight="false" outlineLevel="0" collapsed="false">
      <c r="A25" s="16" t="n">
        <v>21</v>
      </c>
      <c r="B25" s="16" t="s">
        <v>149</v>
      </c>
      <c r="C25" s="16" t="s">
        <v>150</v>
      </c>
      <c r="D25" s="42" t="s">
        <v>155</v>
      </c>
      <c r="E25" s="43" t="n">
        <v>1</v>
      </c>
      <c r="F25" s="22" t="n">
        <v>14396</v>
      </c>
      <c r="G25" s="43" t="s">
        <v>118</v>
      </c>
      <c r="H25" s="5" t="n">
        <f aca="false">IF(G25="USD",F25*Inputs!$B$5,F25)</f>
        <v>14396</v>
      </c>
      <c r="I25" s="7" t="n">
        <f aca="false">E25*H25</f>
        <v>14396</v>
      </c>
      <c r="J25" s="16" t="str">
        <f aca="false">IF(G25="USD","Yes","No")</f>
        <v>No</v>
      </c>
      <c r="K25" s="16" t="s">
        <v>119</v>
      </c>
      <c r="L25" s="16" t="s">
        <v>156</v>
      </c>
    </row>
    <row r="26" customFormat="false" ht="15" hidden="false" customHeight="false" outlineLevel="0" collapsed="false">
      <c r="A26" s="16" t="n">
        <v>22</v>
      </c>
      <c r="B26" s="16" t="s">
        <v>149</v>
      </c>
      <c r="C26" s="16" t="s">
        <v>150</v>
      </c>
      <c r="D26" s="42" t="s">
        <v>157</v>
      </c>
      <c r="E26" s="43" t="n">
        <v>1</v>
      </c>
      <c r="F26" s="22" t="n">
        <v>4889</v>
      </c>
      <c r="G26" s="43" t="s">
        <v>118</v>
      </c>
      <c r="H26" s="5" t="n">
        <f aca="false">IF(G26="USD",F26*Inputs!$B$5,F26)</f>
        <v>4889</v>
      </c>
      <c r="I26" s="7" t="n">
        <f aca="false">E26*H26</f>
        <v>4889</v>
      </c>
      <c r="J26" s="16" t="str">
        <f aca="false">IF(G26="USD","Yes","No")</f>
        <v>No</v>
      </c>
      <c r="K26" s="16" t="s">
        <v>119</v>
      </c>
      <c r="L26" s="16" t="s">
        <v>120</v>
      </c>
    </row>
    <row r="27" customFormat="false" ht="15" hidden="false" customHeight="false" outlineLevel="0" collapsed="false">
      <c r="A27" s="16" t="n">
        <v>23</v>
      </c>
      <c r="B27" s="16" t="s">
        <v>149</v>
      </c>
      <c r="C27" s="16" t="s">
        <v>150</v>
      </c>
      <c r="D27" s="42" t="s">
        <v>158</v>
      </c>
      <c r="E27" s="43" t="n">
        <v>1</v>
      </c>
      <c r="F27" s="44" t="n">
        <v>23.99</v>
      </c>
      <c r="G27" s="43" t="s">
        <v>132</v>
      </c>
      <c r="H27" s="5" t="n">
        <f aca="false">IF(G27="USD",F27*Inputs!$B$5,F27)</f>
        <v>2111.12</v>
      </c>
      <c r="I27" s="7" t="n">
        <f aca="false">E27*H27</f>
        <v>2111.12</v>
      </c>
      <c r="J27" s="16" t="str">
        <f aca="false">IF(G27="USD","Yes","No")</f>
        <v>Yes</v>
      </c>
      <c r="K27" s="16" t="s">
        <v>119</v>
      </c>
      <c r="L27" s="16" t="s">
        <v>139</v>
      </c>
    </row>
    <row r="28" customFormat="false" ht="15" hidden="false" customHeight="false" outlineLevel="0" collapsed="false">
      <c r="A28" s="16" t="n">
        <v>24</v>
      </c>
      <c r="B28" s="16" t="s">
        <v>149</v>
      </c>
      <c r="C28" s="16" t="s">
        <v>150</v>
      </c>
      <c r="D28" s="42" t="s">
        <v>159</v>
      </c>
      <c r="E28" s="43" t="n">
        <v>1</v>
      </c>
      <c r="F28" s="22" t="n">
        <v>1500</v>
      </c>
      <c r="G28" s="43" t="s">
        <v>118</v>
      </c>
      <c r="H28" s="5" t="n">
        <f aca="false">IF(G28="USD",F28*Inputs!$B$5,F28)</f>
        <v>1500</v>
      </c>
      <c r="I28" s="7" t="n">
        <f aca="false">E28*H28</f>
        <v>1500</v>
      </c>
      <c r="J28" s="16" t="str">
        <f aca="false">IF(G28="USD","Yes","No")</f>
        <v>No</v>
      </c>
      <c r="K28" s="16" t="s">
        <v>122</v>
      </c>
      <c r="L28" s="16" t="s">
        <v>160</v>
      </c>
    </row>
    <row r="29" customFormat="false" ht="15" hidden="false" customHeight="false" outlineLevel="0" collapsed="false">
      <c r="A29" s="16" t="n">
        <v>25</v>
      </c>
      <c r="B29" s="16" t="s">
        <v>149</v>
      </c>
      <c r="C29" s="16" t="s">
        <v>150</v>
      </c>
      <c r="D29" s="42" t="s">
        <v>161</v>
      </c>
      <c r="E29" s="43" t="n">
        <v>1</v>
      </c>
      <c r="F29" s="22" t="n">
        <v>3786</v>
      </c>
      <c r="G29" s="43" t="s">
        <v>118</v>
      </c>
      <c r="H29" s="5" t="n">
        <f aca="false">IF(G29="USD",F29*Inputs!$B$5,F29)</f>
        <v>3786</v>
      </c>
      <c r="I29" s="7" t="n">
        <f aca="false">E29*H29</f>
        <v>3786</v>
      </c>
      <c r="J29" s="16" t="str">
        <f aca="false">IF(G29="USD","Yes","No")</f>
        <v>No</v>
      </c>
      <c r="K29" s="16" t="s">
        <v>119</v>
      </c>
      <c r="L29" s="16" t="s">
        <v>124</v>
      </c>
    </row>
    <row r="30" customFormat="false" ht="15" hidden="false" customHeight="false" outlineLevel="0" collapsed="false">
      <c r="A30" s="16" t="n">
        <v>26</v>
      </c>
      <c r="B30" s="16" t="s">
        <v>149</v>
      </c>
      <c r="C30" s="16" t="s">
        <v>150</v>
      </c>
      <c r="D30" s="42" t="s">
        <v>162</v>
      </c>
      <c r="E30" s="43" t="n">
        <v>1</v>
      </c>
      <c r="F30" s="22" t="n">
        <v>300</v>
      </c>
      <c r="G30" s="43" t="s">
        <v>118</v>
      </c>
      <c r="H30" s="5" t="n">
        <f aca="false">IF(G30="USD",F30*Inputs!$B$5,F30)</f>
        <v>300</v>
      </c>
      <c r="I30" s="7" t="n">
        <f aca="false">E30*H30</f>
        <v>300</v>
      </c>
      <c r="J30" s="16" t="str">
        <f aca="false">IF(G30="USD","Yes","No")</f>
        <v>No</v>
      </c>
      <c r="K30" s="16" t="s">
        <v>122</v>
      </c>
      <c r="L30" s="16"/>
    </row>
    <row r="31" customFormat="false" ht="15" hidden="false" customHeight="false" outlineLevel="0" collapsed="false">
      <c r="A31" s="36" t="n">
        <v>27</v>
      </c>
      <c r="B31" s="36" t="s">
        <v>163</v>
      </c>
      <c r="C31" s="36" t="s">
        <v>164</v>
      </c>
      <c r="D31" s="37" t="s">
        <v>165</v>
      </c>
      <c r="E31" s="38" t="n">
        <v>10</v>
      </c>
      <c r="F31" s="39" t="n">
        <v>50</v>
      </c>
      <c r="G31" s="38" t="s">
        <v>118</v>
      </c>
      <c r="H31" s="40" t="n">
        <f aca="false">IF(G31="USD",F31*Inputs!$B$5,F31)</f>
        <v>50</v>
      </c>
      <c r="I31" s="41" t="n">
        <f aca="false">E31*H31</f>
        <v>500</v>
      </c>
      <c r="J31" s="36" t="str">
        <f aca="false">IF(G31="USD","Yes","No")</f>
        <v>No</v>
      </c>
      <c r="K31" s="36" t="s">
        <v>119</v>
      </c>
      <c r="L31" s="36" t="s">
        <v>124</v>
      </c>
    </row>
    <row r="32" customFormat="false" ht="15" hidden="false" customHeight="false" outlineLevel="0" collapsed="false">
      <c r="A32" s="16" t="n">
        <v>28</v>
      </c>
      <c r="B32" s="16" t="s">
        <v>163</v>
      </c>
      <c r="C32" s="16" t="s">
        <v>164</v>
      </c>
      <c r="D32" s="42" t="s">
        <v>166</v>
      </c>
      <c r="E32" s="43" t="n">
        <v>20</v>
      </c>
      <c r="F32" s="22" t="n">
        <v>11.5</v>
      </c>
      <c r="G32" s="43" t="s">
        <v>118</v>
      </c>
      <c r="H32" s="5" t="n">
        <f aca="false">IF(G32="USD",F32*Inputs!$B$5,F32)</f>
        <v>11.5</v>
      </c>
      <c r="I32" s="7" t="n">
        <f aca="false">E32*H32</f>
        <v>230</v>
      </c>
      <c r="J32" s="16" t="str">
        <f aca="false">IF(G32="USD","Yes","No")</f>
        <v>No</v>
      </c>
      <c r="K32" s="16" t="s">
        <v>119</v>
      </c>
      <c r="L32" s="16" t="s">
        <v>124</v>
      </c>
    </row>
    <row r="33" customFormat="false" ht="15" hidden="false" customHeight="false" outlineLevel="0" collapsed="false">
      <c r="A33" s="16" t="n">
        <v>29</v>
      </c>
      <c r="B33" s="16" t="s">
        <v>163</v>
      </c>
      <c r="C33" s="16" t="s">
        <v>164</v>
      </c>
      <c r="D33" s="42" t="s">
        <v>167</v>
      </c>
      <c r="E33" s="43" t="n">
        <v>1</v>
      </c>
      <c r="F33" s="22" t="n">
        <v>14999</v>
      </c>
      <c r="G33" s="43" t="s">
        <v>118</v>
      </c>
      <c r="H33" s="5" t="n">
        <f aca="false">IF(G33="USD",F33*Inputs!$B$5,F33)</f>
        <v>14999</v>
      </c>
      <c r="I33" s="7" t="n">
        <f aca="false">E33*H33</f>
        <v>14999</v>
      </c>
      <c r="J33" s="16" t="str">
        <f aca="false">IF(G33="USD","Yes","No")</f>
        <v>No</v>
      </c>
      <c r="K33" s="16" t="s">
        <v>119</v>
      </c>
      <c r="L33" s="16" t="s">
        <v>168</v>
      </c>
    </row>
    <row r="34" customFormat="false" ht="15" hidden="false" customHeight="false" outlineLevel="0" collapsed="false">
      <c r="A34" s="16" t="n">
        <v>30</v>
      </c>
      <c r="B34" s="16" t="s">
        <v>163</v>
      </c>
      <c r="C34" s="16" t="s">
        <v>164</v>
      </c>
      <c r="D34" s="42" t="s">
        <v>169</v>
      </c>
      <c r="E34" s="43" t="n">
        <v>1</v>
      </c>
      <c r="F34" s="44" t="n">
        <v>56.68</v>
      </c>
      <c r="G34" s="43" t="s">
        <v>132</v>
      </c>
      <c r="H34" s="5" t="n">
        <f aca="false">IF(G34="USD",F34*Inputs!$B$5,F34)</f>
        <v>4987.84</v>
      </c>
      <c r="I34" s="7" t="n">
        <f aca="false">E34*H34</f>
        <v>4987.84</v>
      </c>
      <c r="J34" s="16" t="str">
        <f aca="false">IF(G34="USD","Yes","No")</f>
        <v>Yes</v>
      </c>
      <c r="K34" s="16" t="s">
        <v>119</v>
      </c>
      <c r="L34" s="16" t="s">
        <v>170</v>
      </c>
    </row>
    <row r="35" customFormat="false" ht="15" hidden="false" customHeight="false" outlineLevel="0" collapsed="false">
      <c r="A35" s="16" t="n">
        <v>31</v>
      </c>
      <c r="B35" s="16" t="s">
        <v>163</v>
      </c>
      <c r="C35" s="16" t="s">
        <v>164</v>
      </c>
      <c r="D35" s="42" t="s">
        <v>171</v>
      </c>
      <c r="E35" s="43" t="n">
        <v>1</v>
      </c>
      <c r="F35" s="22" t="n">
        <v>8000</v>
      </c>
      <c r="G35" s="43" t="s">
        <v>118</v>
      </c>
      <c r="H35" s="5" t="n">
        <f aca="false">IF(G35="USD",F35*Inputs!$B$5,F35)</f>
        <v>8000</v>
      </c>
      <c r="I35" s="7" t="n">
        <f aca="false">E35*H35</f>
        <v>8000</v>
      </c>
      <c r="J35" s="16" t="str">
        <f aca="false">IF(G35="USD","Yes","No")</f>
        <v>No</v>
      </c>
      <c r="K35" s="16" t="s">
        <v>122</v>
      </c>
      <c r="L35" s="16" t="s">
        <v>172</v>
      </c>
    </row>
    <row r="36" customFormat="false" ht="15" hidden="false" customHeight="false" outlineLevel="0" collapsed="false">
      <c r="A36" s="16" t="n">
        <v>32</v>
      </c>
      <c r="B36" s="16" t="s">
        <v>163</v>
      </c>
      <c r="C36" s="16" t="s">
        <v>164</v>
      </c>
      <c r="D36" s="42" t="s">
        <v>173</v>
      </c>
      <c r="E36" s="43" t="n">
        <v>1</v>
      </c>
      <c r="F36" s="22" t="n">
        <v>659</v>
      </c>
      <c r="G36" s="43" t="s">
        <v>118</v>
      </c>
      <c r="H36" s="5" t="n">
        <f aca="false">IF(G36="USD",F36*Inputs!$B$5,F36)</f>
        <v>659</v>
      </c>
      <c r="I36" s="7" t="n">
        <f aca="false">E36*H36</f>
        <v>659</v>
      </c>
      <c r="J36" s="16" t="str">
        <f aca="false">IF(G36="USD","Yes","No")</f>
        <v>No</v>
      </c>
      <c r="K36" s="16" t="s">
        <v>119</v>
      </c>
      <c r="L36" s="16" t="s">
        <v>120</v>
      </c>
    </row>
    <row r="37" customFormat="false" ht="15" hidden="false" customHeight="false" outlineLevel="0" collapsed="false">
      <c r="A37" s="16" t="n">
        <v>33</v>
      </c>
      <c r="B37" s="16" t="s">
        <v>163</v>
      </c>
      <c r="C37" s="16" t="s">
        <v>164</v>
      </c>
      <c r="D37" s="42" t="s">
        <v>174</v>
      </c>
      <c r="E37" s="43" t="n">
        <v>2</v>
      </c>
      <c r="F37" s="22" t="n">
        <v>1500</v>
      </c>
      <c r="G37" s="43" t="s">
        <v>118</v>
      </c>
      <c r="H37" s="5" t="n">
        <f aca="false">IF(G37="USD",F37*Inputs!$B$5,F37)</f>
        <v>1500</v>
      </c>
      <c r="I37" s="7" t="n">
        <f aca="false">E37*H37</f>
        <v>3000</v>
      </c>
      <c r="J37" s="16" t="str">
        <f aca="false">IF(G37="USD","Yes","No")</f>
        <v>No</v>
      </c>
      <c r="K37" s="16" t="s">
        <v>119</v>
      </c>
      <c r="L37" s="16" t="s">
        <v>124</v>
      </c>
    </row>
    <row r="38" customFormat="false" ht="15" hidden="false" customHeight="false" outlineLevel="0" collapsed="false">
      <c r="A38" s="16" t="n">
        <v>34</v>
      </c>
      <c r="B38" s="16" t="s">
        <v>163</v>
      </c>
      <c r="C38" s="16" t="s">
        <v>164</v>
      </c>
      <c r="D38" s="42" t="s">
        <v>175</v>
      </c>
      <c r="E38" s="43" t="n">
        <v>2</v>
      </c>
      <c r="F38" s="22" t="n">
        <v>91</v>
      </c>
      <c r="G38" s="43" t="s">
        <v>118</v>
      </c>
      <c r="H38" s="5" t="n">
        <f aca="false">IF(G38="USD",F38*Inputs!$B$5,F38)</f>
        <v>91</v>
      </c>
      <c r="I38" s="7" t="n">
        <f aca="false">E38*H38</f>
        <v>182</v>
      </c>
      <c r="J38" s="16" t="str">
        <f aca="false">IF(G38="USD","Yes","No")</f>
        <v>No</v>
      </c>
      <c r="K38" s="16" t="s">
        <v>119</v>
      </c>
      <c r="L38" s="16" t="s">
        <v>120</v>
      </c>
    </row>
    <row r="39" customFormat="false" ht="15" hidden="false" customHeight="false" outlineLevel="0" collapsed="false">
      <c r="A39" s="16" t="n">
        <v>35</v>
      </c>
      <c r="B39" s="16" t="s">
        <v>163</v>
      </c>
      <c r="C39" s="16" t="s">
        <v>164</v>
      </c>
      <c r="D39" s="42" t="s">
        <v>176</v>
      </c>
      <c r="E39" s="43" t="n">
        <v>1</v>
      </c>
      <c r="F39" s="22" t="n">
        <v>500</v>
      </c>
      <c r="G39" s="43" t="s">
        <v>118</v>
      </c>
      <c r="H39" s="5" t="n">
        <f aca="false">IF(G39="USD",F39*Inputs!$B$5,F39)</f>
        <v>500</v>
      </c>
      <c r="I39" s="7" t="n">
        <f aca="false">E39*H39</f>
        <v>500</v>
      </c>
      <c r="J39" s="16" t="str">
        <f aca="false">IF(G39="USD","Yes","No")</f>
        <v>No</v>
      </c>
      <c r="K39" s="16" t="s">
        <v>122</v>
      </c>
      <c r="L39" s="16"/>
    </row>
    <row r="40" customFormat="false" ht="15" hidden="false" customHeight="false" outlineLevel="0" collapsed="false">
      <c r="A40" s="36" t="n">
        <v>36</v>
      </c>
      <c r="B40" s="36" t="s">
        <v>177</v>
      </c>
      <c r="C40" s="36" t="s">
        <v>178</v>
      </c>
      <c r="D40" s="37" t="s">
        <v>179</v>
      </c>
      <c r="E40" s="38" t="n">
        <v>1</v>
      </c>
      <c r="F40" s="39" t="n">
        <v>3150</v>
      </c>
      <c r="G40" s="38" t="s">
        <v>118</v>
      </c>
      <c r="H40" s="40" t="n">
        <f aca="false">IF(G40="USD",F40*Inputs!$B$5,F40)</f>
        <v>3150</v>
      </c>
      <c r="I40" s="41" t="n">
        <f aca="false">E40*H40</f>
        <v>3150</v>
      </c>
      <c r="J40" s="36" t="str">
        <f aca="false">IF(G40="USD","Yes","No")</f>
        <v>No</v>
      </c>
      <c r="K40" s="36" t="s">
        <v>119</v>
      </c>
      <c r="L40" s="36" t="s">
        <v>124</v>
      </c>
    </row>
    <row r="41" customFormat="false" ht="15" hidden="false" customHeight="false" outlineLevel="0" collapsed="false">
      <c r="A41" s="16" t="n">
        <v>37</v>
      </c>
      <c r="B41" s="16" t="s">
        <v>177</v>
      </c>
      <c r="C41" s="16" t="s">
        <v>178</v>
      </c>
      <c r="D41" s="42" t="s">
        <v>180</v>
      </c>
      <c r="E41" s="43" t="n">
        <v>4</v>
      </c>
      <c r="F41" s="22" t="n">
        <v>259</v>
      </c>
      <c r="G41" s="43" t="s">
        <v>118</v>
      </c>
      <c r="H41" s="5" t="n">
        <f aca="false">IF(G41="USD",F41*Inputs!$B$5,F41)</f>
        <v>259</v>
      </c>
      <c r="I41" s="7" t="n">
        <f aca="false">E41*H41</f>
        <v>1036</v>
      </c>
      <c r="J41" s="16" t="str">
        <f aca="false">IF(G41="USD","Yes","No")</f>
        <v>No</v>
      </c>
      <c r="K41" s="16" t="s">
        <v>119</v>
      </c>
      <c r="L41" s="16" t="s">
        <v>120</v>
      </c>
    </row>
    <row r="42" customFormat="false" ht="15" hidden="false" customHeight="false" outlineLevel="0" collapsed="false">
      <c r="A42" s="16" t="n">
        <v>38</v>
      </c>
      <c r="B42" s="16" t="s">
        <v>177</v>
      </c>
      <c r="C42" s="16" t="s">
        <v>178</v>
      </c>
      <c r="D42" s="42" t="s">
        <v>181</v>
      </c>
      <c r="E42" s="43" t="n">
        <v>1</v>
      </c>
      <c r="F42" s="22" t="n">
        <v>300</v>
      </c>
      <c r="G42" s="43" t="s">
        <v>118</v>
      </c>
      <c r="H42" s="5" t="n">
        <f aca="false">IF(G42="USD",F42*Inputs!$B$5,F42)</f>
        <v>300</v>
      </c>
      <c r="I42" s="7" t="n">
        <f aca="false">E42*H42</f>
        <v>300</v>
      </c>
      <c r="J42" s="16" t="str">
        <f aca="false">IF(G42="USD","Yes","No")</f>
        <v>No</v>
      </c>
      <c r="K42" s="16" t="s">
        <v>119</v>
      </c>
      <c r="L42" s="16" t="s">
        <v>124</v>
      </c>
    </row>
    <row r="43" customFormat="false" ht="15" hidden="false" customHeight="false" outlineLevel="0" collapsed="false">
      <c r="A43" s="16" t="n">
        <v>39</v>
      </c>
      <c r="B43" s="16" t="s">
        <v>177</v>
      </c>
      <c r="C43" s="16" t="s">
        <v>178</v>
      </c>
      <c r="D43" s="42" t="s">
        <v>182</v>
      </c>
      <c r="E43" s="43" t="n">
        <v>1</v>
      </c>
      <c r="F43" s="22" t="n">
        <v>819</v>
      </c>
      <c r="G43" s="43" t="s">
        <v>118</v>
      </c>
      <c r="H43" s="5" t="n">
        <f aca="false">IF(G43="USD",F43*Inputs!$B$5,F43)</f>
        <v>819</v>
      </c>
      <c r="I43" s="7" t="n">
        <f aca="false">E43*H43</f>
        <v>819</v>
      </c>
      <c r="J43" s="16" t="str">
        <f aca="false">IF(G43="USD","Yes","No")</f>
        <v>No</v>
      </c>
      <c r="K43" s="16" t="s">
        <v>119</v>
      </c>
      <c r="L43" s="16" t="s">
        <v>120</v>
      </c>
    </row>
    <row r="44" customFormat="false" ht="15" hidden="false" customHeight="false" outlineLevel="0" collapsed="false">
      <c r="A44" s="16" t="n">
        <v>40</v>
      </c>
      <c r="B44" s="16" t="s">
        <v>177</v>
      </c>
      <c r="C44" s="16" t="s">
        <v>178</v>
      </c>
      <c r="D44" s="42" t="s">
        <v>183</v>
      </c>
      <c r="E44" s="43" t="n">
        <v>1</v>
      </c>
      <c r="F44" s="22" t="n">
        <v>500</v>
      </c>
      <c r="G44" s="43" t="s">
        <v>118</v>
      </c>
      <c r="H44" s="5" t="n">
        <f aca="false">IF(G44="USD",F44*Inputs!$B$5,F44)</f>
        <v>500</v>
      </c>
      <c r="I44" s="7" t="n">
        <f aca="false">E44*H44</f>
        <v>500</v>
      </c>
      <c r="J44" s="16" t="str">
        <f aca="false">IF(G44="USD","Yes","No")</f>
        <v>No</v>
      </c>
      <c r="K44" s="16" t="s">
        <v>122</v>
      </c>
      <c r="L44" s="16"/>
    </row>
    <row r="45" customFormat="false" ht="15" hidden="false" customHeight="false" outlineLevel="0" collapsed="false">
      <c r="A45" s="36" t="n">
        <v>41</v>
      </c>
      <c r="B45" s="36" t="s">
        <v>184</v>
      </c>
      <c r="C45" s="36" t="s">
        <v>185</v>
      </c>
      <c r="D45" s="37" t="s">
        <v>186</v>
      </c>
      <c r="E45" s="38" t="n">
        <v>1</v>
      </c>
      <c r="F45" s="39" t="n">
        <v>1500</v>
      </c>
      <c r="G45" s="38" t="s">
        <v>118</v>
      </c>
      <c r="H45" s="40" t="n">
        <f aca="false">IF(G45="USD",F45*Inputs!$B$5,F45)</f>
        <v>1500</v>
      </c>
      <c r="I45" s="41" t="n">
        <f aca="false">E45*H45</f>
        <v>1500</v>
      </c>
      <c r="J45" s="36" t="str">
        <f aca="false">IF(G45="USD","Yes","No")</f>
        <v>No</v>
      </c>
      <c r="K45" s="36" t="s">
        <v>119</v>
      </c>
      <c r="L45" s="36" t="s">
        <v>124</v>
      </c>
    </row>
    <row r="46" customFormat="false" ht="15" hidden="false" customHeight="false" outlineLevel="0" collapsed="false">
      <c r="A46" s="16" t="n">
        <v>42</v>
      </c>
      <c r="B46" s="16" t="s">
        <v>184</v>
      </c>
      <c r="C46" s="16" t="s">
        <v>185</v>
      </c>
      <c r="D46" s="42" t="s">
        <v>187</v>
      </c>
      <c r="E46" s="43" t="n">
        <v>1</v>
      </c>
      <c r="F46" s="22" t="n">
        <v>748</v>
      </c>
      <c r="G46" s="43" t="s">
        <v>118</v>
      </c>
      <c r="H46" s="5" t="n">
        <f aca="false">IF(G46="USD",F46*Inputs!$B$5,F46)</f>
        <v>748</v>
      </c>
      <c r="I46" s="7" t="n">
        <f aca="false">E46*H46</f>
        <v>748</v>
      </c>
      <c r="J46" s="16" t="str">
        <f aca="false">IF(G46="USD","Yes","No")</f>
        <v>No</v>
      </c>
      <c r="K46" s="16" t="s">
        <v>119</v>
      </c>
      <c r="L46" s="16" t="s">
        <v>120</v>
      </c>
    </row>
    <row r="47" customFormat="false" ht="15" hidden="false" customHeight="false" outlineLevel="0" collapsed="false">
      <c r="A47" s="16" t="n">
        <v>43</v>
      </c>
      <c r="B47" s="16" t="s">
        <v>184</v>
      </c>
      <c r="C47" s="16" t="s">
        <v>185</v>
      </c>
      <c r="D47" s="42" t="s">
        <v>188</v>
      </c>
      <c r="E47" s="43" t="n">
        <v>1</v>
      </c>
      <c r="F47" s="22" t="n">
        <v>349</v>
      </c>
      <c r="G47" s="43" t="s">
        <v>118</v>
      </c>
      <c r="H47" s="5" t="n">
        <f aca="false">IF(G47="USD",F47*Inputs!$B$5,F47)</f>
        <v>349</v>
      </c>
      <c r="I47" s="7" t="n">
        <f aca="false">E47*H47</f>
        <v>349</v>
      </c>
      <c r="J47" s="16" t="str">
        <f aca="false">IF(G47="USD","Yes","No")</f>
        <v>No</v>
      </c>
      <c r="K47" s="16" t="s">
        <v>119</v>
      </c>
      <c r="L47" s="16" t="s">
        <v>124</v>
      </c>
    </row>
    <row r="48" customFormat="false" ht="15" hidden="false" customHeight="false" outlineLevel="0" collapsed="false">
      <c r="A48" s="16" t="n">
        <v>44</v>
      </c>
      <c r="B48" s="16" t="s">
        <v>184</v>
      </c>
      <c r="C48" s="16" t="s">
        <v>185</v>
      </c>
      <c r="D48" s="42" t="s">
        <v>189</v>
      </c>
      <c r="E48" s="43" t="n">
        <v>1</v>
      </c>
      <c r="F48" s="22" t="n">
        <v>249</v>
      </c>
      <c r="G48" s="43" t="s">
        <v>118</v>
      </c>
      <c r="H48" s="5" t="n">
        <f aca="false">IF(G48="USD",F48*Inputs!$B$5,F48)</f>
        <v>249</v>
      </c>
      <c r="I48" s="7" t="n">
        <f aca="false">E48*H48</f>
        <v>249</v>
      </c>
      <c r="J48" s="16" t="str">
        <f aca="false">IF(G48="USD","Yes","No")</f>
        <v>No</v>
      </c>
      <c r="K48" s="16" t="s">
        <v>119</v>
      </c>
      <c r="L48" s="16" t="s">
        <v>141</v>
      </c>
    </row>
    <row r="49" customFormat="false" ht="15" hidden="false" customHeight="false" outlineLevel="0" collapsed="false">
      <c r="A49" s="16" t="n">
        <v>45</v>
      </c>
      <c r="B49" s="16" t="s">
        <v>184</v>
      </c>
      <c r="C49" s="16" t="s">
        <v>185</v>
      </c>
      <c r="D49" s="42" t="s">
        <v>190</v>
      </c>
      <c r="E49" s="43" t="n">
        <v>1</v>
      </c>
      <c r="F49" s="22" t="n">
        <v>850</v>
      </c>
      <c r="G49" s="43" t="s">
        <v>118</v>
      </c>
      <c r="H49" s="5" t="n">
        <f aca="false">IF(G49="USD",F49*Inputs!$B$5,F49)</f>
        <v>850</v>
      </c>
      <c r="I49" s="7" t="n">
        <f aca="false">E49*H49</f>
        <v>850</v>
      </c>
      <c r="J49" s="16" t="str">
        <f aca="false">IF(G49="USD","Yes","No")</f>
        <v>No</v>
      </c>
      <c r="K49" s="16" t="s">
        <v>119</v>
      </c>
      <c r="L49" s="16" t="s">
        <v>124</v>
      </c>
    </row>
    <row r="50" customFormat="false" ht="15" hidden="false" customHeight="false" outlineLevel="0" collapsed="false">
      <c r="A50" s="16" t="n">
        <v>46</v>
      </c>
      <c r="B50" s="16" t="s">
        <v>184</v>
      </c>
      <c r="C50" s="16" t="s">
        <v>185</v>
      </c>
      <c r="D50" s="42" t="s">
        <v>191</v>
      </c>
      <c r="E50" s="43" t="n">
        <v>1</v>
      </c>
      <c r="F50" s="22" t="n">
        <v>268</v>
      </c>
      <c r="G50" s="43" t="s">
        <v>118</v>
      </c>
      <c r="H50" s="5" t="n">
        <f aca="false">IF(G50="USD",F50*Inputs!$B$5,F50)</f>
        <v>268</v>
      </c>
      <c r="I50" s="7" t="n">
        <f aca="false">E50*H50</f>
        <v>268</v>
      </c>
      <c r="J50" s="16" t="str">
        <f aca="false">IF(G50="USD","Yes","No")</f>
        <v>No</v>
      </c>
      <c r="K50" s="16" t="s">
        <v>119</v>
      </c>
      <c r="L50" s="16" t="s">
        <v>120</v>
      </c>
    </row>
    <row r="51" customFormat="false" ht="15" hidden="false" customHeight="false" outlineLevel="0" collapsed="false">
      <c r="A51" s="16" t="n">
        <v>47</v>
      </c>
      <c r="B51" s="16" t="s">
        <v>184</v>
      </c>
      <c r="C51" s="16" t="s">
        <v>185</v>
      </c>
      <c r="D51" s="42" t="s">
        <v>192</v>
      </c>
      <c r="E51" s="43" t="n">
        <v>1</v>
      </c>
      <c r="F51" s="22" t="n">
        <v>569</v>
      </c>
      <c r="G51" s="43" t="s">
        <v>118</v>
      </c>
      <c r="H51" s="5" t="n">
        <f aca="false">IF(G51="USD",F51*Inputs!$B$5,F51)</f>
        <v>569</v>
      </c>
      <c r="I51" s="7" t="n">
        <f aca="false">E51*H51</f>
        <v>569</v>
      </c>
      <c r="J51" s="16" t="str">
        <f aca="false">IF(G51="USD","Yes","No")</f>
        <v>No</v>
      </c>
      <c r="K51" s="16" t="s">
        <v>119</v>
      </c>
      <c r="L51" s="16" t="s">
        <v>120</v>
      </c>
    </row>
    <row r="52" customFormat="false" ht="15" hidden="false" customHeight="false" outlineLevel="0" collapsed="false">
      <c r="A52" s="16" t="n">
        <v>48</v>
      </c>
      <c r="B52" s="16" t="s">
        <v>184</v>
      </c>
      <c r="C52" s="16" t="s">
        <v>185</v>
      </c>
      <c r="D52" s="42" t="s">
        <v>193</v>
      </c>
      <c r="E52" s="43" t="n">
        <v>1</v>
      </c>
      <c r="F52" s="44" t="n">
        <v>2</v>
      </c>
      <c r="G52" s="43" t="s">
        <v>132</v>
      </c>
      <c r="H52" s="5" t="n">
        <f aca="false">IF(G52="USD",F52*Inputs!$B$5,F52)</f>
        <v>176</v>
      </c>
      <c r="I52" s="7" t="n">
        <f aca="false">E52*H52</f>
        <v>176</v>
      </c>
      <c r="J52" s="16" t="str">
        <f aca="false">IF(G52="USD","Yes","No")</f>
        <v>Yes</v>
      </c>
      <c r="K52" s="16" t="s">
        <v>119</v>
      </c>
      <c r="L52" s="16" t="s">
        <v>194</v>
      </c>
    </row>
    <row r="53" customFormat="false" ht="15" hidden="false" customHeight="false" outlineLevel="0" collapsed="false">
      <c r="A53" s="16" t="n">
        <v>49</v>
      </c>
      <c r="B53" s="16" t="s">
        <v>184</v>
      </c>
      <c r="C53" s="16" t="s">
        <v>185</v>
      </c>
      <c r="D53" s="42" t="s">
        <v>195</v>
      </c>
      <c r="E53" s="43" t="n">
        <v>2</v>
      </c>
      <c r="F53" s="22" t="n">
        <v>91</v>
      </c>
      <c r="G53" s="43" t="s">
        <v>118</v>
      </c>
      <c r="H53" s="5" t="n">
        <f aca="false">IF(G53="USD",F53*Inputs!$B$5,F53)</f>
        <v>91</v>
      </c>
      <c r="I53" s="7" t="n">
        <f aca="false">E53*H53</f>
        <v>182</v>
      </c>
      <c r="J53" s="16" t="str">
        <f aca="false">IF(G53="USD","Yes","No")</f>
        <v>No</v>
      </c>
      <c r="K53" s="16" t="s">
        <v>119</v>
      </c>
      <c r="L53" s="16" t="s">
        <v>120</v>
      </c>
    </row>
    <row r="54" customFormat="false" ht="15" hidden="false" customHeight="false" outlineLevel="0" collapsed="false">
      <c r="A54" s="36" t="n">
        <v>50</v>
      </c>
      <c r="B54" s="36" t="s">
        <v>196</v>
      </c>
      <c r="C54" s="36" t="s">
        <v>197</v>
      </c>
      <c r="D54" s="37" t="s">
        <v>198</v>
      </c>
      <c r="E54" s="38" t="n">
        <v>1</v>
      </c>
      <c r="F54" s="39" t="n">
        <v>300</v>
      </c>
      <c r="G54" s="38" t="s">
        <v>118</v>
      </c>
      <c r="H54" s="40" t="n">
        <f aca="false">IF(G54="USD",F54*Inputs!$B$5,F54)</f>
        <v>300</v>
      </c>
      <c r="I54" s="41" t="n">
        <f aca="false">E54*H54</f>
        <v>300</v>
      </c>
      <c r="J54" s="36" t="str">
        <f aca="false">IF(G54="USD","Yes","No")</f>
        <v>No</v>
      </c>
      <c r="K54" s="36" t="s">
        <v>122</v>
      </c>
      <c r="L54" s="36"/>
    </row>
    <row r="55" customFormat="false" ht="15" hidden="false" customHeight="false" outlineLevel="0" collapsed="false">
      <c r="A55" s="36" t="n">
        <v>51</v>
      </c>
      <c r="B55" s="36" t="s">
        <v>199</v>
      </c>
      <c r="C55" s="36" t="s">
        <v>200</v>
      </c>
      <c r="D55" s="37" t="s">
        <v>201</v>
      </c>
      <c r="E55" s="38" t="n">
        <v>1</v>
      </c>
      <c r="F55" s="39" t="n">
        <v>13409</v>
      </c>
      <c r="G55" s="38" t="s">
        <v>118</v>
      </c>
      <c r="H55" s="40" t="n">
        <f aca="false">IF(G55="USD",F55*Inputs!$B$5,F55)</f>
        <v>13409</v>
      </c>
      <c r="I55" s="41" t="n">
        <f aca="false">E55*H55</f>
        <v>13409</v>
      </c>
      <c r="J55" s="36" t="str">
        <f aca="false">IF(G55="USD","Yes","No")</f>
        <v>No</v>
      </c>
      <c r="K55" s="36" t="s">
        <v>119</v>
      </c>
      <c r="L55" s="36" t="s">
        <v>120</v>
      </c>
    </row>
    <row r="56" customFormat="false" ht="15" hidden="false" customHeight="false" outlineLevel="0" collapsed="false">
      <c r="A56" s="16" t="n">
        <v>52</v>
      </c>
      <c r="B56" s="16" t="s">
        <v>199</v>
      </c>
      <c r="C56" s="16" t="s">
        <v>200</v>
      </c>
      <c r="D56" s="42" t="s">
        <v>202</v>
      </c>
      <c r="E56" s="43" t="n">
        <v>1</v>
      </c>
      <c r="F56" s="22" t="n">
        <v>1204</v>
      </c>
      <c r="G56" s="43" t="s">
        <v>118</v>
      </c>
      <c r="H56" s="5" t="n">
        <f aca="false">IF(G56="USD",F56*Inputs!$B$5,F56)</f>
        <v>1204</v>
      </c>
      <c r="I56" s="7" t="n">
        <f aca="false">E56*H56</f>
        <v>1204</v>
      </c>
      <c r="J56" s="16" t="str">
        <f aca="false">IF(G56="USD","Yes","No")</f>
        <v>No</v>
      </c>
      <c r="K56" s="16" t="s">
        <v>119</v>
      </c>
      <c r="L56" s="16" t="s">
        <v>203</v>
      </c>
    </row>
    <row r="57" customFormat="false" ht="15" hidden="false" customHeight="false" outlineLevel="0" collapsed="false">
      <c r="A57" s="16" t="n">
        <v>53</v>
      </c>
      <c r="B57" s="16" t="s">
        <v>199</v>
      </c>
      <c r="C57" s="16" t="s">
        <v>200</v>
      </c>
      <c r="D57" s="42" t="s">
        <v>204</v>
      </c>
      <c r="E57" s="43" t="n">
        <v>1</v>
      </c>
      <c r="F57" s="22" t="n">
        <v>518</v>
      </c>
      <c r="G57" s="43" t="s">
        <v>118</v>
      </c>
      <c r="H57" s="5" t="n">
        <f aca="false">IF(G57="USD",F57*Inputs!$B$5,F57)</f>
        <v>518</v>
      </c>
      <c r="I57" s="7" t="n">
        <f aca="false">E57*H57</f>
        <v>518</v>
      </c>
      <c r="J57" s="16" t="str">
        <f aca="false">IF(G57="USD","Yes","No")</f>
        <v>No</v>
      </c>
      <c r="K57" s="16" t="s">
        <v>119</v>
      </c>
      <c r="L57" s="16" t="s">
        <v>203</v>
      </c>
    </row>
    <row r="58" customFormat="false" ht="15" hidden="false" customHeight="false" outlineLevel="0" collapsed="false">
      <c r="A58" s="16" t="n">
        <v>54</v>
      </c>
      <c r="B58" s="16" t="s">
        <v>199</v>
      </c>
      <c r="C58" s="16" t="s">
        <v>200</v>
      </c>
      <c r="D58" s="42" t="s">
        <v>205</v>
      </c>
      <c r="E58" s="43" t="n">
        <v>1</v>
      </c>
      <c r="F58" s="22" t="n">
        <v>1949</v>
      </c>
      <c r="G58" s="43" t="s">
        <v>118</v>
      </c>
      <c r="H58" s="5" t="n">
        <f aca="false">IF(G58="USD",F58*Inputs!$B$5,F58)</f>
        <v>1949</v>
      </c>
      <c r="I58" s="7" t="n">
        <f aca="false">E58*H58</f>
        <v>1949</v>
      </c>
      <c r="J58" s="16" t="str">
        <f aca="false">IF(G58="USD","Yes","No")</f>
        <v>No</v>
      </c>
      <c r="K58" s="16" t="s">
        <v>119</v>
      </c>
      <c r="L58" s="16" t="s">
        <v>120</v>
      </c>
    </row>
    <row r="59" customFormat="false" ht="15" hidden="false" customHeight="false" outlineLevel="0" collapsed="false">
      <c r="A59" s="16" t="n">
        <v>55</v>
      </c>
      <c r="B59" s="16" t="s">
        <v>199</v>
      </c>
      <c r="C59" s="16" t="s">
        <v>200</v>
      </c>
      <c r="D59" s="42" t="s">
        <v>206</v>
      </c>
      <c r="E59" s="43" t="n">
        <v>1</v>
      </c>
      <c r="F59" s="22" t="n">
        <v>6799</v>
      </c>
      <c r="G59" s="43" t="s">
        <v>118</v>
      </c>
      <c r="H59" s="5" t="n">
        <f aca="false">IF(G59="USD",F59*Inputs!$B$5,F59)</f>
        <v>6799</v>
      </c>
      <c r="I59" s="7" t="n">
        <f aca="false">E59*H59</f>
        <v>6799</v>
      </c>
      <c r="J59" s="16" t="str">
        <f aca="false">IF(G59="USD","Yes","No")</f>
        <v>No</v>
      </c>
      <c r="K59" s="16" t="s">
        <v>119</v>
      </c>
      <c r="L59" s="16" t="s">
        <v>203</v>
      </c>
    </row>
    <row r="60" customFormat="false" ht="15" hidden="false" customHeight="false" outlineLevel="0" collapsed="false">
      <c r="A60" s="16" t="n">
        <v>56</v>
      </c>
      <c r="B60" s="16" t="s">
        <v>199</v>
      </c>
      <c r="C60" s="16" t="s">
        <v>200</v>
      </c>
      <c r="D60" s="42" t="s">
        <v>207</v>
      </c>
      <c r="E60" s="43" t="n">
        <v>1</v>
      </c>
      <c r="F60" s="22" t="n">
        <v>7619</v>
      </c>
      <c r="G60" s="43" t="s">
        <v>118</v>
      </c>
      <c r="H60" s="5" t="n">
        <f aca="false">IF(G60="USD",F60*Inputs!$B$5,F60)</f>
        <v>7619</v>
      </c>
      <c r="I60" s="7" t="n">
        <f aca="false">E60*H60</f>
        <v>7619</v>
      </c>
      <c r="J60" s="16" t="str">
        <f aca="false">IF(G60="USD","Yes","No")</f>
        <v>No</v>
      </c>
      <c r="K60" s="16" t="s">
        <v>119</v>
      </c>
      <c r="L60" s="16" t="s">
        <v>120</v>
      </c>
    </row>
    <row r="61" customFormat="false" ht="15" hidden="false" customHeight="false" outlineLevel="0" collapsed="false">
      <c r="A61" s="16" t="n">
        <v>57</v>
      </c>
      <c r="B61" s="16" t="s">
        <v>199</v>
      </c>
      <c r="C61" s="16" t="s">
        <v>200</v>
      </c>
      <c r="D61" s="42" t="s">
        <v>208</v>
      </c>
      <c r="E61" s="43" t="n">
        <v>1</v>
      </c>
      <c r="F61" s="22" t="n">
        <v>2799</v>
      </c>
      <c r="G61" s="43" t="s">
        <v>118</v>
      </c>
      <c r="H61" s="5" t="n">
        <f aca="false">IF(G61="USD",F61*Inputs!$B$5,F61)</f>
        <v>2799</v>
      </c>
      <c r="I61" s="7" t="n">
        <f aca="false">E61*H61</f>
        <v>2799</v>
      </c>
      <c r="J61" s="16" t="str">
        <f aca="false">IF(G61="USD","Yes","No")</f>
        <v>No</v>
      </c>
      <c r="K61" s="16" t="s">
        <v>119</v>
      </c>
      <c r="L61" s="16" t="s">
        <v>141</v>
      </c>
    </row>
    <row r="62" customFormat="false" ht="15" hidden="false" customHeight="false" outlineLevel="0" collapsed="false">
      <c r="A62" s="16" t="n">
        <v>58</v>
      </c>
      <c r="B62" s="16" t="s">
        <v>199</v>
      </c>
      <c r="C62" s="16" t="s">
        <v>200</v>
      </c>
      <c r="D62" s="42" t="s">
        <v>209</v>
      </c>
      <c r="E62" s="43" t="n">
        <v>1</v>
      </c>
      <c r="F62" s="22" t="n">
        <v>3259</v>
      </c>
      <c r="G62" s="43" t="s">
        <v>118</v>
      </c>
      <c r="H62" s="5" t="n">
        <f aca="false">IF(G62="USD",F62*Inputs!$B$5,F62)</f>
        <v>3259</v>
      </c>
      <c r="I62" s="7" t="n">
        <f aca="false">E62*H62</f>
        <v>3259</v>
      </c>
      <c r="J62" s="16" t="str">
        <f aca="false">IF(G62="USD","Yes","No")</f>
        <v>No</v>
      </c>
      <c r="K62" s="16" t="s">
        <v>119</v>
      </c>
      <c r="L62" s="16" t="s">
        <v>120</v>
      </c>
    </row>
    <row r="63" customFormat="false" ht="15" hidden="false" customHeight="false" outlineLevel="0" collapsed="false">
      <c r="A63" s="16" t="n">
        <v>59</v>
      </c>
      <c r="B63" s="16" t="s">
        <v>199</v>
      </c>
      <c r="C63" s="16" t="s">
        <v>200</v>
      </c>
      <c r="D63" s="42" t="s">
        <v>210</v>
      </c>
      <c r="E63" s="43" t="n">
        <v>1</v>
      </c>
      <c r="F63" s="22" t="n">
        <v>1429</v>
      </c>
      <c r="G63" s="43" t="s">
        <v>118</v>
      </c>
      <c r="H63" s="5" t="n">
        <f aca="false">IF(G63="USD",F63*Inputs!$B$5,F63)</f>
        <v>1429</v>
      </c>
      <c r="I63" s="7" t="n">
        <f aca="false">E63*H63</f>
        <v>1429</v>
      </c>
      <c r="J63" s="16" t="str">
        <f aca="false">IF(G63="USD","Yes","No")</f>
        <v>No</v>
      </c>
      <c r="K63" s="16" t="s">
        <v>119</v>
      </c>
      <c r="L63" s="16" t="s">
        <v>124</v>
      </c>
    </row>
    <row r="64" customFormat="false" ht="15" hidden="false" customHeight="false" outlineLevel="0" collapsed="false">
      <c r="A64" s="16" t="n">
        <v>60</v>
      </c>
      <c r="B64" s="16" t="s">
        <v>199</v>
      </c>
      <c r="C64" s="16" t="s">
        <v>200</v>
      </c>
      <c r="D64" s="42" t="s">
        <v>211</v>
      </c>
      <c r="E64" s="43" t="n">
        <v>1</v>
      </c>
      <c r="F64" s="22" t="n">
        <v>4000</v>
      </c>
      <c r="G64" s="43" t="s">
        <v>118</v>
      </c>
      <c r="H64" s="5" t="n">
        <f aca="false">IF(G64="USD",F64*Inputs!$B$5,F64)</f>
        <v>4000</v>
      </c>
      <c r="I64" s="7" t="n">
        <f aca="false">E64*H64</f>
        <v>4000</v>
      </c>
      <c r="J64" s="16" t="str">
        <f aca="false">IF(G64="USD","Yes","No")</f>
        <v>No</v>
      </c>
      <c r="K64" s="16" t="s">
        <v>122</v>
      </c>
      <c r="L64" s="16"/>
    </row>
    <row r="65" customFormat="false" ht="15" hidden="false" customHeight="false" outlineLevel="0" collapsed="false">
      <c r="A65" s="36" t="n">
        <v>61</v>
      </c>
      <c r="B65" s="36" t="s">
        <v>212</v>
      </c>
      <c r="C65" s="36" t="s">
        <v>213</v>
      </c>
      <c r="D65" s="37" t="s">
        <v>214</v>
      </c>
      <c r="E65" s="38" t="n">
        <v>1</v>
      </c>
      <c r="F65" s="39" t="n">
        <v>43000</v>
      </c>
      <c r="G65" s="38" t="s">
        <v>118</v>
      </c>
      <c r="H65" s="40" t="n">
        <f aca="false">IF(G65="USD",F65*Inputs!$B$5,F65)</f>
        <v>43000</v>
      </c>
      <c r="I65" s="41" t="n">
        <f aca="false">E65*H65</f>
        <v>43000</v>
      </c>
      <c r="J65" s="36" t="str">
        <f aca="false">IF(G65="USD","Yes","No")</f>
        <v>No</v>
      </c>
      <c r="K65" s="36" t="s">
        <v>119</v>
      </c>
      <c r="L65" s="36" t="s">
        <v>215</v>
      </c>
    </row>
    <row r="66" customFormat="false" ht="15" hidden="false" customHeight="false" outlineLevel="0" collapsed="false">
      <c r="A66" s="16" t="n">
        <v>62</v>
      </c>
      <c r="B66" s="16" t="s">
        <v>212</v>
      </c>
      <c r="C66" s="16" t="s">
        <v>213</v>
      </c>
      <c r="D66" s="42" t="s">
        <v>216</v>
      </c>
      <c r="E66" s="43" t="n">
        <v>1</v>
      </c>
      <c r="F66" s="22" t="n">
        <v>16999</v>
      </c>
      <c r="G66" s="43" t="s">
        <v>118</v>
      </c>
      <c r="H66" s="5" t="n">
        <f aca="false">IF(G66="USD",F66*Inputs!$B$5,F66)</f>
        <v>16999</v>
      </c>
      <c r="I66" s="7" t="n">
        <f aca="false">E66*H66</f>
        <v>16999</v>
      </c>
      <c r="J66" s="16" t="str">
        <f aca="false">IF(G66="USD","Yes","No")</f>
        <v>No</v>
      </c>
      <c r="K66" s="16" t="s">
        <v>119</v>
      </c>
      <c r="L66" s="16" t="s">
        <v>217</v>
      </c>
    </row>
    <row r="67" customFormat="false" ht="15" hidden="false" customHeight="false" outlineLevel="0" collapsed="false">
      <c r="A67" s="16" t="n">
        <v>63</v>
      </c>
      <c r="B67" s="16" t="s">
        <v>212</v>
      </c>
      <c r="C67" s="16" t="s">
        <v>213</v>
      </c>
      <c r="D67" s="42" t="s">
        <v>218</v>
      </c>
      <c r="E67" s="43" t="n">
        <v>2</v>
      </c>
      <c r="F67" s="22" t="n">
        <v>7500</v>
      </c>
      <c r="G67" s="43" t="s">
        <v>118</v>
      </c>
      <c r="H67" s="5" t="n">
        <f aca="false">IF(G67="USD",F67*Inputs!$B$5,F67)</f>
        <v>7500</v>
      </c>
      <c r="I67" s="7" t="n">
        <f aca="false">E67*H67</f>
        <v>15000</v>
      </c>
      <c r="J67" s="16" t="str">
        <f aca="false">IF(G67="USD","Yes","No")</f>
        <v>No</v>
      </c>
      <c r="K67" s="16" t="s">
        <v>119</v>
      </c>
      <c r="L67" s="16" t="s">
        <v>124</v>
      </c>
    </row>
    <row r="68" customFormat="false" ht="15" hidden="false" customHeight="false" outlineLevel="0" collapsed="false">
      <c r="A68" s="16" t="n">
        <v>64</v>
      </c>
      <c r="B68" s="16" t="s">
        <v>212</v>
      </c>
      <c r="C68" s="16" t="s">
        <v>213</v>
      </c>
      <c r="D68" s="42" t="s">
        <v>219</v>
      </c>
      <c r="E68" s="43" t="n">
        <v>1</v>
      </c>
      <c r="F68" s="22" t="n">
        <v>1699</v>
      </c>
      <c r="G68" s="43" t="s">
        <v>118</v>
      </c>
      <c r="H68" s="5" t="n">
        <f aca="false">IF(G68="USD",F68*Inputs!$B$5,F68)</f>
        <v>1699</v>
      </c>
      <c r="I68" s="7" t="n">
        <f aca="false">E68*H68</f>
        <v>1699</v>
      </c>
      <c r="J68" s="16" t="str">
        <f aca="false">IF(G68="USD","Yes","No")</f>
        <v>No</v>
      </c>
      <c r="K68" s="16" t="s">
        <v>119</v>
      </c>
      <c r="L68" s="16" t="s">
        <v>220</v>
      </c>
    </row>
    <row r="69" customFormat="false" ht="15" hidden="false" customHeight="false" outlineLevel="0" collapsed="false">
      <c r="A69" s="16" t="n">
        <v>65</v>
      </c>
      <c r="B69" s="16" t="s">
        <v>212</v>
      </c>
      <c r="C69" s="16" t="s">
        <v>213</v>
      </c>
      <c r="D69" s="42" t="s">
        <v>221</v>
      </c>
      <c r="E69" s="43" t="n">
        <v>5</v>
      </c>
      <c r="F69" s="22" t="n">
        <v>200</v>
      </c>
      <c r="G69" s="43" t="s">
        <v>118</v>
      </c>
      <c r="H69" s="5" t="n">
        <f aca="false">IF(G69="USD",F69*Inputs!$B$5,F69)</f>
        <v>200</v>
      </c>
      <c r="I69" s="7" t="n">
        <f aca="false">E69*H69</f>
        <v>1000</v>
      </c>
      <c r="J69" s="16" t="str">
        <f aca="false">IF(G69="USD","Yes","No")</f>
        <v>No</v>
      </c>
      <c r="K69" s="16" t="s">
        <v>119</v>
      </c>
      <c r="L69" s="16" t="s">
        <v>124</v>
      </c>
    </row>
    <row r="70" customFormat="false" ht="15" hidden="false" customHeight="false" outlineLevel="0" collapsed="false">
      <c r="A70" s="36" t="n">
        <v>66</v>
      </c>
      <c r="B70" s="36" t="s">
        <v>222</v>
      </c>
      <c r="C70" s="36" t="s">
        <v>223</v>
      </c>
      <c r="D70" s="37" t="s">
        <v>224</v>
      </c>
      <c r="E70" s="38" t="n">
        <v>20</v>
      </c>
      <c r="F70" s="39" t="n">
        <v>99</v>
      </c>
      <c r="G70" s="38" t="s">
        <v>118</v>
      </c>
      <c r="H70" s="40" t="n">
        <f aca="false">IF(G70="USD",F70*Inputs!$B$5,F70)</f>
        <v>99</v>
      </c>
      <c r="I70" s="41" t="n">
        <f aca="false">E70*H70</f>
        <v>1980</v>
      </c>
      <c r="J70" s="36" t="str">
        <f aca="false">IF(G70="USD","Yes","No")</f>
        <v>No</v>
      </c>
      <c r="K70" s="36" t="s">
        <v>119</v>
      </c>
      <c r="L70" s="36" t="s">
        <v>120</v>
      </c>
    </row>
    <row r="71" customFormat="false" ht="15" hidden="false" customHeight="false" outlineLevel="0" collapsed="false">
      <c r="A71" s="16" t="n">
        <v>67</v>
      </c>
      <c r="B71" s="16" t="s">
        <v>222</v>
      </c>
      <c r="C71" s="16" t="s">
        <v>223</v>
      </c>
      <c r="D71" s="42" t="s">
        <v>225</v>
      </c>
      <c r="E71" s="43" t="n">
        <v>1</v>
      </c>
      <c r="F71" s="22" t="n">
        <v>1100</v>
      </c>
      <c r="G71" s="43" t="s">
        <v>118</v>
      </c>
      <c r="H71" s="5" t="n">
        <f aca="false">IF(G71="USD",F71*Inputs!$B$5,F71)</f>
        <v>1100</v>
      </c>
      <c r="I71" s="7" t="n">
        <f aca="false">E71*H71</f>
        <v>1100</v>
      </c>
      <c r="J71" s="16" t="str">
        <f aca="false">IF(G71="USD","Yes","No")</f>
        <v>No</v>
      </c>
      <c r="K71" s="16" t="s">
        <v>119</v>
      </c>
      <c r="L71" s="16" t="s">
        <v>124</v>
      </c>
    </row>
    <row r="72" customFormat="false" ht="15" hidden="false" customHeight="false" outlineLevel="0" collapsed="false">
      <c r="A72" s="16" t="n">
        <v>68</v>
      </c>
      <c r="B72" s="16" t="s">
        <v>222</v>
      </c>
      <c r="C72" s="16" t="s">
        <v>223</v>
      </c>
      <c r="D72" s="42" t="s">
        <v>226</v>
      </c>
      <c r="E72" s="43" t="n">
        <v>1</v>
      </c>
      <c r="F72" s="22" t="n">
        <v>200</v>
      </c>
      <c r="G72" s="43" t="s">
        <v>118</v>
      </c>
      <c r="H72" s="5" t="n">
        <f aca="false">IF(G72="USD",F72*Inputs!$B$5,F72)</f>
        <v>200</v>
      </c>
      <c r="I72" s="7" t="n">
        <f aca="false">E72*H72</f>
        <v>200</v>
      </c>
      <c r="J72" s="16" t="str">
        <f aca="false">IF(G72="USD","Yes","No")</f>
        <v>No</v>
      </c>
      <c r="K72" s="16" t="s">
        <v>122</v>
      </c>
      <c r="L72" s="16"/>
    </row>
    <row r="73" customFormat="false" ht="15" hidden="false" customHeight="false" outlineLevel="0" collapsed="false">
      <c r="A73" s="16" t="n">
        <v>69</v>
      </c>
      <c r="B73" s="16" t="s">
        <v>222</v>
      </c>
      <c r="C73" s="16" t="s">
        <v>223</v>
      </c>
      <c r="D73" s="42" t="s">
        <v>227</v>
      </c>
      <c r="E73" s="43" t="n">
        <v>1</v>
      </c>
      <c r="F73" s="22" t="n">
        <v>1500</v>
      </c>
      <c r="G73" s="43" t="s">
        <v>118</v>
      </c>
      <c r="H73" s="5" t="n">
        <f aca="false">IF(G73="USD",F73*Inputs!$B$5,F73)</f>
        <v>1500</v>
      </c>
      <c r="I73" s="7" t="n">
        <f aca="false">E73*H73</f>
        <v>1500</v>
      </c>
      <c r="J73" s="16" t="str">
        <f aca="false">IF(G73="USD","Yes","No")</f>
        <v>No</v>
      </c>
      <c r="K73" s="16" t="s">
        <v>119</v>
      </c>
      <c r="L73" s="16" t="s">
        <v>124</v>
      </c>
    </row>
    <row r="74" customFormat="false" ht="15" hidden="false" customHeight="false" outlineLevel="0" collapsed="false">
      <c r="A74" s="16" t="n">
        <v>70</v>
      </c>
      <c r="B74" s="16" t="s">
        <v>222</v>
      </c>
      <c r="C74" s="16" t="s">
        <v>223</v>
      </c>
      <c r="D74" s="42" t="s">
        <v>228</v>
      </c>
      <c r="E74" s="43" t="n">
        <v>1</v>
      </c>
      <c r="F74" s="22" t="n">
        <v>1500</v>
      </c>
      <c r="G74" s="43" t="s">
        <v>118</v>
      </c>
      <c r="H74" s="5" t="n">
        <f aca="false">IF(G74="USD",F74*Inputs!$B$5,F74)</f>
        <v>1500</v>
      </c>
      <c r="I74" s="7" t="n">
        <f aca="false">E74*H74</f>
        <v>1500</v>
      </c>
      <c r="J74" s="16" t="str">
        <f aca="false">IF(G74="USD","Yes","No")</f>
        <v>No</v>
      </c>
      <c r="K74" s="16" t="s">
        <v>122</v>
      </c>
      <c r="L74" s="16"/>
    </row>
    <row r="76" customFormat="false" ht="15" hidden="false" customHeight="false" outlineLevel="0" collapsed="false">
      <c r="D76" s="46" t="s">
        <v>229</v>
      </c>
      <c r="I76" s="47" t="n">
        <f aca="false">SUM(I5:I74)</f>
        <v>312464.56</v>
      </c>
    </row>
    <row r="77" customFormat="false" ht="15" hidden="false" customHeight="false" outlineLevel="0" collapsed="false">
      <c r="D77" s="48" t="s">
        <v>230</v>
      </c>
      <c r="I77" s="49" t="n">
        <f aca="false">SUMIF(G5:G74,"USD",I5:I74)</f>
        <v>34990.56</v>
      </c>
    </row>
    <row r="78" customFormat="false" ht="15" hidden="false" customHeight="false" outlineLevel="0" collapsed="false">
      <c r="D78" s="48" t="s">
        <v>231</v>
      </c>
      <c r="I78" s="48" t="str">
        <f aca="false">COUNTIF(K5:K74,"Listing")&amp;" of "&amp;COUNTA(D5:D74)</f>
        <v>58 of 70</v>
      </c>
    </row>
  </sheetData>
  <autoFilter ref="A4:L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30" hidden="false" customHeight="true" outlineLevel="0" collapsed="false">
      <c r="A4" s="3" t="s">
        <v>104</v>
      </c>
      <c r="B4" s="3" t="s">
        <v>105</v>
      </c>
      <c r="C4" s="3" t="s">
        <v>234</v>
      </c>
      <c r="D4" s="3" t="s">
        <v>235</v>
      </c>
      <c r="E4" s="3" t="s">
        <v>236</v>
      </c>
      <c r="F4" s="3" t="s">
        <v>237</v>
      </c>
      <c r="G4" s="3" t="s">
        <v>238</v>
      </c>
      <c r="H4" s="3" t="s">
        <v>239</v>
      </c>
      <c r="I4" s="3" t="s">
        <v>240</v>
      </c>
      <c r="J4" s="3" t="s">
        <v>241</v>
      </c>
      <c r="K4" s="3" t="s">
        <v>242</v>
      </c>
    </row>
    <row r="5" customFormat="false" ht="15" hidden="false" customHeight="false" outlineLevel="0" collapsed="false">
      <c r="A5" s="16" t="s">
        <v>115</v>
      </c>
      <c r="B5" s="16" t="s">
        <v>116</v>
      </c>
      <c r="C5" s="13" t="n">
        <f aca="false">COUNTIF('Baker BOM'!$B$5:$B$74,A5)</f>
        <v>8</v>
      </c>
      <c r="D5" s="13" t="n">
        <f aca="false">COUNTIFS('Baker BOM'!$B$5:$B$74,A5,'Baker BOM'!$K$5:$K$74,"Listing")</f>
        <v>5</v>
      </c>
      <c r="E5" s="5" t="n">
        <f aca="false">SUMIF('Baker BOM'!$B$5:$B$74,A5,'Baker BOM'!$I$5:$I$74)</f>
        <v>22795.24</v>
      </c>
      <c r="F5" s="5" t="n">
        <f aca="false">SUMIFS('Baker BOM'!$I$5:$I$74,'Baker BOM'!$B$5:$B$74,A5,'Baker BOM'!$G$5:$G$74,"USD")</f>
        <v>5190.24</v>
      </c>
      <c r="G5" s="7" t="n">
        <f aca="false">F5*Inputs!$B$6</f>
        <v>1816.584</v>
      </c>
      <c r="H5" s="7" t="n">
        <f aca="false">E5+G5</f>
        <v>24611.824</v>
      </c>
      <c r="I5" s="7" t="n">
        <f aca="false">H5*Inputs!$B$7</f>
        <v>3691.7736</v>
      </c>
      <c r="J5" s="7" t="n">
        <f aca="false">H5+I5</f>
        <v>28303.5976</v>
      </c>
      <c r="K5" s="30" t="n">
        <f aca="false">IF($J$15=0,0,J5/$J$15)</f>
        <v>0.0757960296886043</v>
      </c>
    </row>
    <row r="6" customFormat="false" ht="15" hidden="false" customHeight="false" outlineLevel="0" collapsed="false">
      <c r="A6" s="16" t="s">
        <v>134</v>
      </c>
      <c r="B6" s="16" t="s">
        <v>135</v>
      </c>
      <c r="C6" s="13" t="n">
        <f aca="false">COUNTIF('Baker BOM'!$B$5:$B$74,A6)</f>
        <v>10</v>
      </c>
      <c r="D6" s="13" t="n">
        <f aca="false">COUNTIFS('Baker BOM'!$B$5:$B$74,A6,'Baker BOM'!$K$5:$K$74,"Listing")</f>
        <v>10</v>
      </c>
      <c r="E6" s="5" t="n">
        <f aca="false">SUMIF('Baker BOM'!$B$5:$B$74,A6,'Baker BOM'!$I$5:$I$74)</f>
        <v>80382.24</v>
      </c>
      <c r="F6" s="5" t="n">
        <f aca="false">SUMIFS('Baker BOM'!$I$5:$I$74,'Baker BOM'!$B$5:$B$74,A6,'Baker BOM'!$G$5:$G$74,"USD")</f>
        <v>14958.24</v>
      </c>
      <c r="G6" s="7" t="n">
        <f aca="false">F6*Inputs!$B$6</f>
        <v>5235.384</v>
      </c>
      <c r="H6" s="7" t="n">
        <f aca="false">E6+G6</f>
        <v>85617.624</v>
      </c>
      <c r="I6" s="7" t="n">
        <f aca="false">H6*Inputs!$B$7</f>
        <v>12842.6436</v>
      </c>
      <c r="J6" s="7" t="n">
        <f aca="false">H6+I6</f>
        <v>98460.2676</v>
      </c>
      <c r="K6" s="30" t="n">
        <f aca="false">IF($J$15=0,0,J6/$J$15)</f>
        <v>0.263673101618627</v>
      </c>
    </row>
    <row r="7" customFormat="false" ht="15" hidden="false" customHeight="false" outlineLevel="0" collapsed="false">
      <c r="A7" s="16" t="s">
        <v>149</v>
      </c>
      <c r="B7" s="16" t="s">
        <v>150</v>
      </c>
      <c r="C7" s="13" t="n">
        <f aca="false">COUNTIF('Baker BOM'!$B$5:$B$74,A7)</f>
        <v>8</v>
      </c>
      <c r="D7" s="13" t="n">
        <f aca="false">COUNTIFS('Baker BOM'!$B$5:$B$74,A7,'Baker BOM'!$K$5:$K$74,"Listing")</f>
        <v>6</v>
      </c>
      <c r="E7" s="5" t="n">
        <f aca="false">SUMIF('Baker BOM'!$B$5:$B$74,A7,'Baker BOM'!$I$5:$I$74)</f>
        <v>38270.24</v>
      </c>
      <c r="F7" s="5" t="n">
        <f aca="false">SUMIFS('Baker BOM'!$I$5:$I$74,'Baker BOM'!$B$5:$B$74,A7,'Baker BOM'!$G$5:$G$74,"USD")</f>
        <v>9678.24</v>
      </c>
      <c r="G7" s="7" t="n">
        <f aca="false">F7*Inputs!$B$6</f>
        <v>3387.384</v>
      </c>
      <c r="H7" s="7" t="n">
        <f aca="false">E7+G7</f>
        <v>41657.624</v>
      </c>
      <c r="I7" s="7" t="n">
        <f aca="false">H7*Inputs!$B$7</f>
        <v>6248.6436</v>
      </c>
      <c r="J7" s="7" t="n">
        <f aca="false">H7+I7</f>
        <v>47906.2676</v>
      </c>
      <c r="K7" s="30" t="n">
        <f aca="false">IF($J$15=0,0,J7/$J$15)</f>
        <v>0.128291284118589</v>
      </c>
    </row>
    <row r="8" customFormat="false" ht="15" hidden="false" customHeight="false" outlineLevel="0" collapsed="false">
      <c r="A8" s="16" t="s">
        <v>163</v>
      </c>
      <c r="B8" s="16" t="s">
        <v>164</v>
      </c>
      <c r="C8" s="13" t="n">
        <f aca="false">COUNTIF('Baker BOM'!$B$5:$B$74,A8)</f>
        <v>9</v>
      </c>
      <c r="D8" s="13" t="n">
        <f aca="false">COUNTIFS('Baker BOM'!$B$5:$B$74,A8,'Baker BOM'!$K$5:$K$74,"Listing")</f>
        <v>7</v>
      </c>
      <c r="E8" s="5" t="n">
        <f aca="false">SUMIF('Baker BOM'!$B$5:$B$74,A8,'Baker BOM'!$I$5:$I$74)</f>
        <v>33057.84</v>
      </c>
      <c r="F8" s="5" t="n">
        <f aca="false">SUMIFS('Baker BOM'!$I$5:$I$74,'Baker BOM'!$B$5:$B$74,A8,'Baker BOM'!$G$5:$G$74,"USD")</f>
        <v>4987.84</v>
      </c>
      <c r="G8" s="7" t="n">
        <f aca="false">F8*Inputs!$B$6</f>
        <v>1745.744</v>
      </c>
      <c r="H8" s="7" t="n">
        <f aca="false">E8+G8</f>
        <v>34803.584</v>
      </c>
      <c r="I8" s="7" t="n">
        <f aca="false">H8*Inputs!$B$7</f>
        <v>5220.5376</v>
      </c>
      <c r="J8" s="7" t="n">
        <f aca="false">H8+I8</f>
        <v>40024.1216</v>
      </c>
      <c r="K8" s="30" t="n">
        <f aca="false">IF($J$15=0,0,J8/$J$15)</f>
        <v>0.107183176920729</v>
      </c>
    </row>
    <row r="9" customFormat="false" ht="15" hidden="false" customHeight="false" outlineLevel="0" collapsed="false">
      <c r="A9" s="16" t="s">
        <v>177</v>
      </c>
      <c r="B9" s="16" t="s">
        <v>178</v>
      </c>
      <c r="C9" s="13" t="n">
        <f aca="false">COUNTIF('Baker BOM'!$B$5:$B$74,A9)</f>
        <v>5</v>
      </c>
      <c r="D9" s="13" t="n">
        <f aca="false">COUNTIFS('Baker BOM'!$B$5:$B$74,A9,'Baker BOM'!$K$5:$K$74,"Listing")</f>
        <v>4</v>
      </c>
      <c r="E9" s="5" t="n">
        <f aca="false">SUMIF('Baker BOM'!$B$5:$B$74,A9,'Baker BOM'!$I$5:$I$74)</f>
        <v>5805</v>
      </c>
      <c r="F9" s="5" t="n">
        <f aca="false">SUMIFS('Baker BOM'!$I$5:$I$74,'Baker BOM'!$B$5:$B$74,A9,'Baker BOM'!$G$5:$G$74,"USD")</f>
        <v>0</v>
      </c>
      <c r="G9" s="7" t="n">
        <f aca="false">F9*Inputs!$B$6</f>
        <v>0</v>
      </c>
      <c r="H9" s="7" t="n">
        <f aca="false">E9+G9</f>
        <v>5805</v>
      </c>
      <c r="I9" s="7" t="n">
        <f aca="false">H9*Inputs!$B$7</f>
        <v>870.75</v>
      </c>
      <c r="J9" s="7" t="n">
        <f aca="false">H9+I9</f>
        <v>6675.75</v>
      </c>
      <c r="K9" s="30" t="n">
        <f aca="false">IF($J$15=0,0,J9/$J$15)</f>
        <v>0.0178774215329326</v>
      </c>
    </row>
    <row r="10" customFormat="false" ht="15" hidden="false" customHeight="false" outlineLevel="0" collapsed="false">
      <c r="A10" s="16" t="s">
        <v>184</v>
      </c>
      <c r="B10" s="16" t="s">
        <v>185</v>
      </c>
      <c r="C10" s="13" t="n">
        <f aca="false">COUNTIF('Baker BOM'!$B$5:$B$74,A10)</f>
        <v>9</v>
      </c>
      <c r="D10" s="13" t="n">
        <f aca="false">COUNTIFS('Baker BOM'!$B$5:$B$74,A10,'Baker BOM'!$K$5:$K$74,"Listing")</f>
        <v>9</v>
      </c>
      <c r="E10" s="5" t="n">
        <f aca="false">SUMIF('Baker BOM'!$B$5:$B$74,A10,'Baker BOM'!$I$5:$I$74)</f>
        <v>4891</v>
      </c>
      <c r="F10" s="5" t="n">
        <f aca="false">SUMIFS('Baker BOM'!$I$5:$I$74,'Baker BOM'!$B$5:$B$74,A10,'Baker BOM'!$G$5:$G$74,"USD")</f>
        <v>176</v>
      </c>
      <c r="G10" s="7" t="n">
        <f aca="false">F10*Inputs!$B$6</f>
        <v>61.6</v>
      </c>
      <c r="H10" s="7" t="n">
        <f aca="false">E10+G10</f>
        <v>4952.6</v>
      </c>
      <c r="I10" s="7" t="n">
        <f aca="false">H10*Inputs!$B$7</f>
        <v>742.89</v>
      </c>
      <c r="J10" s="7" t="n">
        <f aca="false">H10+I10</f>
        <v>5695.49</v>
      </c>
      <c r="K10" s="30" t="n">
        <f aca="false">IF($J$15=0,0,J10/$J$15)</f>
        <v>0.0152523200489237</v>
      </c>
    </row>
    <row r="11" customFormat="false" ht="15" hidden="false" customHeight="false" outlineLevel="0" collapsed="false">
      <c r="A11" s="16" t="s">
        <v>196</v>
      </c>
      <c r="B11" s="16" t="s">
        <v>197</v>
      </c>
      <c r="C11" s="13" t="n">
        <f aca="false">COUNTIF('Baker BOM'!$B$5:$B$74,A11)</f>
        <v>1</v>
      </c>
      <c r="D11" s="13" t="n">
        <f aca="false">COUNTIFS('Baker BOM'!$B$5:$B$74,A11,'Baker BOM'!$K$5:$K$74,"Listing")</f>
        <v>0</v>
      </c>
      <c r="E11" s="5" t="n">
        <f aca="false">SUMIF('Baker BOM'!$B$5:$B$74,A11,'Baker BOM'!$I$5:$I$74)</f>
        <v>300</v>
      </c>
      <c r="F11" s="5" t="n">
        <f aca="false">SUMIFS('Baker BOM'!$I$5:$I$74,'Baker BOM'!$B$5:$B$74,A11,'Baker BOM'!$G$5:$G$74,"USD")</f>
        <v>0</v>
      </c>
      <c r="G11" s="7" t="n">
        <f aca="false">F11*Inputs!$B$6</f>
        <v>0</v>
      </c>
      <c r="H11" s="7" t="n">
        <f aca="false">E11+G11</f>
        <v>300</v>
      </c>
      <c r="I11" s="7" t="n">
        <f aca="false">H11*Inputs!$B$7</f>
        <v>45</v>
      </c>
      <c r="J11" s="7" t="n">
        <f aca="false">H11+I11</f>
        <v>345</v>
      </c>
      <c r="K11" s="30" t="n">
        <f aca="false">IF($J$15=0,0,J11/$J$15)</f>
        <v>0.000923897753639929</v>
      </c>
    </row>
    <row r="12" customFormat="false" ht="15" hidden="false" customHeight="false" outlineLevel="0" collapsed="false">
      <c r="A12" s="16" t="s">
        <v>199</v>
      </c>
      <c r="B12" s="16" t="s">
        <v>200</v>
      </c>
      <c r="C12" s="13" t="n">
        <f aca="false">COUNTIF('Baker BOM'!$B$5:$B$74,A12)</f>
        <v>10</v>
      </c>
      <c r="D12" s="13" t="n">
        <f aca="false">COUNTIFS('Baker BOM'!$B$5:$B$74,A12,'Baker BOM'!$K$5:$K$74,"Listing")</f>
        <v>9</v>
      </c>
      <c r="E12" s="5" t="n">
        <f aca="false">SUMIF('Baker BOM'!$B$5:$B$74,A12,'Baker BOM'!$I$5:$I$74)</f>
        <v>42985</v>
      </c>
      <c r="F12" s="5" t="n">
        <f aca="false">SUMIFS('Baker BOM'!$I$5:$I$74,'Baker BOM'!$B$5:$B$74,A12,'Baker BOM'!$G$5:$G$74,"USD")</f>
        <v>0</v>
      </c>
      <c r="G12" s="7" t="n">
        <f aca="false">F12*Inputs!$B$6</f>
        <v>0</v>
      </c>
      <c r="H12" s="7" t="n">
        <f aca="false">E12+G12</f>
        <v>42985</v>
      </c>
      <c r="I12" s="7" t="n">
        <f aca="false">H12*Inputs!$B$7</f>
        <v>6447.75</v>
      </c>
      <c r="J12" s="7" t="n">
        <f aca="false">H12+I12</f>
        <v>49432.75</v>
      </c>
      <c r="K12" s="30" t="n">
        <f aca="false">IF($J$15=0,0,J12/$J$15)</f>
        <v>0.132379149800708</v>
      </c>
    </row>
    <row r="13" customFormat="false" ht="15" hidden="false" customHeight="false" outlineLevel="0" collapsed="false">
      <c r="A13" s="16" t="s">
        <v>212</v>
      </c>
      <c r="B13" s="16" t="s">
        <v>213</v>
      </c>
      <c r="C13" s="13" t="n">
        <f aca="false">COUNTIF('Baker BOM'!$B$5:$B$74,A13)</f>
        <v>5</v>
      </c>
      <c r="D13" s="13" t="n">
        <f aca="false">COUNTIFS('Baker BOM'!$B$5:$B$74,A13,'Baker BOM'!$K$5:$K$74,"Listing")</f>
        <v>5</v>
      </c>
      <c r="E13" s="5" t="n">
        <f aca="false">SUMIF('Baker BOM'!$B$5:$B$74,A13,'Baker BOM'!$I$5:$I$74)</f>
        <v>77698</v>
      </c>
      <c r="F13" s="5" t="n">
        <f aca="false">SUMIFS('Baker BOM'!$I$5:$I$74,'Baker BOM'!$B$5:$B$74,A13,'Baker BOM'!$G$5:$G$74,"USD")</f>
        <v>0</v>
      </c>
      <c r="G13" s="7" t="n">
        <f aca="false">F13*Inputs!$B$6</f>
        <v>0</v>
      </c>
      <c r="H13" s="7" t="n">
        <f aca="false">E13+G13</f>
        <v>77698</v>
      </c>
      <c r="I13" s="7" t="n">
        <f aca="false">H13*Inputs!$B$7</f>
        <v>11654.7</v>
      </c>
      <c r="J13" s="7" t="n">
        <f aca="false">H13+I13</f>
        <v>89352.7</v>
      </c>
      <c r="K13" s="30" t="n">
        <f aca="false">IF($J$15=0,0,J13/$J$15)</f>
        <v>0.239283358874384</v>
      </c>
    </row>
    <row r="14" customFormat="false" ht="15" hidden="false" customHeight="false" outlineLevel="0" collapsed="false">
      <c r="A14" s="16" t="s">
        <v>222</v>
      </c>
      <c r="B14" s="16" t="s">
        <v>223</v>
      </c>
      <c r="C14" s="13" t="n">
        <f aca="false">COUNTIF('Baker BOM'!$B$5:$B$74,A14)</f>
        <v>5</v>
      </c>
      <c r="D14" s="13" t="n">
        <f aca="false">COUNTIFS('Baker BOM'!$B$5:$B$74,A14,'Baker BOM'!$K$5:$K$74,"Listing")</f>
        <v>3</v>
      </c>
      <c r="E14" s="5" t="n">
        <f aca="false">SUMIF('Baker BOM'!$B$5:$B$74,A14,'Baker BOM'!$I$5:$I$74)</f>
        <v>6280</v>
      </c>
      <c r="F14" s="5" t="n">
        <f aca="false">SUMIFS('Baker BOM'!$I$5:$I$74,'Baker BOM'!$B$5:$B$74,A14,'Baker BOM'!$G$5:$G$74,"USD")</f>
        <v>0</v>
      </c>
      <c r="G14" s="7" t="n">
        <f aca="false">F14*Inputs!$B$6</f>
        <v>0</v>
      </c>
      <c r="H14" s="7" t="n">
        <f aca="false">E14+G14</f>
        <v>6280</v>
      </c>
      <c r="I14" s="7" t="n">
        <f aca="false">H14*Inputs!$B$7</f>
        <v>942</v>
      </c>
      <c r="J14" s="7" t="n">
        <f aca="false">H14+I14</f>
        <v>7222</v>
      </c>
      <c r="K14" s="30" t="n">
        <f aca="false">IF($J$15=0,0,J14/$J$15)</f>
        <v>0.0193402596428625</v>
      </c>
    </row>
    <row r="15" customFormat="false" ht="15" hidden="false" customHeight="false" outlineLevel="0" collapsed="false">
      <c r="A15" s="8"/>
      <c r="B15" s="8" t="s">
        <v>243</v>
      </c>
      <c r="C15" s="8" t="n">
        <f aca="false">SUM(C5:C14)</f>
        <v>70</v>
      </c>
      <c r="D15" s="8" t="n">
        <f aca="false">SUM(D5:D14)</f>
        <v>58</v>
      </c>
      <c r="E15" s="9" t="n">
        <f aca="false">SUM(E5:E14)</f>
        <v>312464.56</v>
      </c>
      <c r="F15" s="9" t="n">
        <f aca="false">SUM(F5:F14)</f>
        <v>34990.56</v>
      </c>
      <c r="G15" s="9" t="n">
        <f aca="false">SUM(G5:G14)</f>
        <v>12246.696</v>
      </c>
      <c r="H15" s="9" t="n">
        <f aca="false">SUM(H5:H14)</f>
        <v>324711.256</v>
      </c>
      <c r="I15" s="9" t="n">
        <f aca="false">SUM(I5:I14)</f>
        <v>48706.6884</v>
      </c>
      <c r="J15" s="9" t="n">
        <f aca="false">SUM(J5:J14)</f>
        <v>373417.9444</v>
      </c>
      <c r="K15" s="50" t="n">
        <f aca="false">SUM(K5:K14)</f>
        <v>1</v>
      </c>
    </row>
    <row r="17" customFormat="false" ht="30" hidden="false" customHeight="true" outlineLevel="0" collapsed="false">
      <c r="A17" s="51" t="s">
        <v>244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customFormat="false" ht="15" hidden="false" customHeight="false" outlineLevel="0" collapsed="false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</sheetData>
  <mergeCells count="1">
    <mergeCell ref="A17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30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</row>
    <row r="5" customFormat="false" ht="15" hidden="false" customHeight="false" outlineLevel="0" collapsed="false">
      <c r="A5" s="36" t="n">
        <v>1</v>
      </c>
      <c r="B5" s="36" t="s">
        <v>247</v>
      </c>
      <c r="C5" s="36" t="s">
        <v>135</v>
      </c>
      <c r="D5" s="37" t="s">
        <v>248</v>
      </c>
      <c r="E5" s="38" t="n">
        <v>3</v>
      </c>
      <c r="F5" s="45" t="n">
        <v>25</v>
      </c>
      <c r="G5" s="38" t="s">
        <v>132</v>
      </c>
      <c r="H5" s="40" t="n">
        <f aca="false">IF(G5="USD",F5*Inputs!$B$5,F5)</f>
        <v>2200</v>
      </c>
      <c r="I5" s="41" t="n">
        <f aca="false">E5*H5</f>
        <v>6600</v>
      </c>
      <c r="J5" s="36" t="str">
        <f aca="false">IF(G5="USD","Yes","No")</f>
        <v>Yes</v>
      </c>
      <c r="K5" s="36" t="s">
        <v>119</v>
      </c>
      <c r="L5" s="36" t="s">
        <v>249</v>
      </c>
    </row>
    <row r="6" customFormat="false" ht="15" hidden="false" customHeight="false" outlineLevel="0" collapsed="false">
      <c r="A6" s="16" t="n">
        <v>2</v>
      </c>
      <c r="B6" s="16" t="s">
        <v>247</v>
      </c>
      <c r="C6" s="16" t="s">
        <v>135</v>
      </c>
      <c r="D6" s="42" t="s">
        <v>250</v>
      </c>
      <c r="E6" s="43" t="n">
        <v>3</v>
      </c>
      <c r="F6" s="44" t="n">
        <v>37</v>
      </c>
      <c r="G6" s="43" t="s">
        <v>132</v>
      </c>
      <c r="H6" s="5" t="n">
        <f aca="false">IF(G6="USD",F6*Inputs!$B$5,F6)</f>
        <v>3256</v>
      </c>
      <c r="I6" s="7" t="n">
        <f aca="false">E6*H6</f>
        <v>9768</v>
      </c>
      <c r="J6" s="16" t="str">
        <f aca="false">IF(G6="USD","Yes","No")</f>
        <v>Yes</v>
      </c>
      <c r="K6" s="16" t="s">
        <v>119</v>
      </c>
      <c r="L6" s="16" t="s">
        <v>249</v>
      </c>
    </row>
    <row r="7" customFormat="false" ht="15" hidden="false" customHeight="false" outlineLevel="0" collapsed="false">
      <c r="A7" s="16" t="n">
        <v>3</v>
      </c>
      <c r="B7" s="16" t="s">
        <v>247</v>
      </c>
      <c r="C7" s="16" t="s">
        <v>135</v>
      </c>
      <c r="D7" s="42" t="s">
        <v>251</v>
      </c>
      <c r="E7" s="43" t="n">
        <v>3</v>
      </c>
      <c r="F7" s="44" t="n">
        <v>11.65</v>
      </c>
      <c r="G7" s="43" t="s">
        <v>132</v>
      </c>
      <c r="H7" s="5" t="n">
        <f aca="false">IF(G7="USD",F7*Inputs!$B$5,F7)</f>
        <v>1025.2</v>
      </c>
      <c r="I7" s="7" t="n">
        <f aca="false">E7*H7</f>
        <v>3075.6</v>
      </c>
      <c r="J7" s="16" t="str">
        <f aca="false">IF(G7="USD","Yes","No")</f>
        <v>Yes</v>
      </c>
      <c r="K7" s="16" t="s">
        <v>119</v>
      </c>
      <c r="L7" s="16" t="s">
        <v>252</v>
      </c>
    </row>
    <row r="8" customFormat="false" ht="15" hidden="false" customHeight="false" outlineLevel="0" collapsed="false">
      <c r="A8" s="16" t="n">
        <v>4</v>
      </c>
      <c r="B8" s="16" t="s">
        <v>247</v>
      </c>
      <c r="C8" s="16" t="s">
        <v>135</v>
      </c>
      <c r="D8" s="42" t="s">
        <v>253</v>
      </c>
      <c r="E8" s="43" t="n">
        <v>8</v>
      </c>
      <c r="F8" s="44" t="n">
        <v>8.03</v>
      </c>
      <c r="G8" s="43" t="s">
        <v>132</v>
      </c>
      <c r="H8" s="5" t="n">
        <f aca="false">IF(G8="USD",F8*Inputs!$B$5,F8)</f>
        <v>706.64</v>
      </c>
      <c r="I8" s="7" t="n">
        <f aca="false">E8*H8</f>
        <v>5653.12</v>
      </c>
      <c r="J8" s="16" t="str">
        <f aca="false">IF(G8="USD","Yes","No")</f>
        <v>Yes</v>
      </c>
      <c r="K8" s="16" t="s">
        <v>119</v>
      </c>
      <c r="L8" s="16" t="s">
        <v>252</v>
      </c>
    </row>
    <row r="9" customFormat="false" ht="15" hidden="false" customHeight="false" outlineLevel="0" collapsed="false">
      <c r="A9" s="16" t="n">
        <v>5</v>
      </c>
      <c r="B9" s="16" t="s">
        <v>247</v>
      </c>
      <c r="C9" s="16" t="s">
        <v>135</v>
      </c>
      <c r="D9" s="42" t="s">
        <v>254</v>
      </c>
      <c r="E9" s="43" t="n">
        <v>2</v>
      </c>
      <c r="F9" s="44" t="n">
        <v>25</v>
      </c>
      <c r="G9" s="43" t="s">
        <v>132</v>
      </c>
      <c r="H9" s="5" t="n">
        <f aca="false">IF(G9="USD",F9*Inputs!$B$5,F9)</f>
        <v>2200</v>
      </c>
      <c r="I9" s="7" t="n">
        <f aca="false">E9*H9</f>
        <v>4400</v>
      </c>
      <c r="J9" s="16" t="str">
        <f aca="false">IF(G9="USD","Yes","No")</f>
        <v>Yes</v>
      </c>
      <c r="K9" s="16" t="s">
        <v>122</v>
      </c>
      <c r="L9" s="16"/>
    </row>
    <row r="10" customFormat="false" ht="15" hidden="false" customHeight="false" outlineLevel="0" collapsed="false">
      <c r="A10" s="36" t="n">
        <v>6</v>
      </c>
      <c r="B10" s="36" t="s">
        <v>255</v>
      </c>
      <c r="C10" s="36" t="s">
        <v>256</v>
      </c>
      <c r="D10" s="37" t="s">
        <v>257</v>
      </c>
      <c r="E10" s="38" t="n">
        <v>1</v>
      </c>
      <c r="F10" s="45" t="n">
        <v>84.38</v>
      </c>
      <c r="G10" s="38" t="s">
        <v>132</v>
      </c>
      <c r="H10" s="40" t="n">
        <f aca="false">IF(G10="USD",F10*Inputs!$B$5,F10)</f>
        <v>7425.44</v>
      </c>
      <c r="I10" s="41" t="n">
        <f aca="false">E10*H10</f>
        <v>7425.44</v>
      </c>
      <c r="J10" s="36" t="str">
        <f aca="false">IF(G10="USD","Yes","No")</f>
        <v>Yes</v>
      </c>
      <c r="K10" s="36" t="s">
        <v>119</v>
      </c>
      <c r="L10" s="36" t="s">
        <v>258</v>
      </c>
    </row>
    <row r="11" customFormat="false" ht="15" hidden="false" customHeight="false" outlineLevel="0" collapsed="false">
      <c r="A11" s="16" t="n">
        <v>7</v>
      </c>
      <c r="B11" s="16" t="s">
        <v>255</v>
      </c>
      <c r="C11" s="16" t="s">
        <v>256</v>
      </c>
      <c r="D11" s="42" t="s">
        <v>259</v>
      </c>
      <c r="E11" s="43" t="n">
        <v>1</v>
      </c>
      <c r="F11" s="44" t="n">
        <v>38.65</v>
      </c>
      <c r="G11" s="43" t="s">
        <v>132</v>
      </c>
      <c r="H11" s="5" t="n">
        <f aca="false">IF(G11="USD",F11*Inputs!$B$5,F11)</f>
        <v>3401.2</v>
      </c>
      <c r="I11" s="7" t="n">
        <f aca="false">E11*H11</f>
        <v>3401.2</v>
      </c>
      <c r="J11" s="16" t="str">
        <f aca="false">IF(G11="USD","Yes","No")</f>
        <v>Yes</v>
      </c>
      <c r="K11" s="16" t="s">
        <v>119</v>
      </c>
      <c r="L11" s="16" t="s">
        <v>260</v>
      </c>
    </row>
    <row r="12" customFormat="false" ht="15" hidden="false" customHeight="false" outlineLevel="0" collapsed="false">
      <c r="A12" s="16" t="n">
        <v>8</v>
      </c>
      <c r="B12" s="16" t="s">
        <v>255</v>
      </c>
      <c r="C12" s="16" t="s">
        <v>256</v>
      </c>
      <c r="D12" s="42" t="s">
        <v>261</v>
      </c>
      <c r="E12" s="43" t="n">
        <v>8</v>
      </c>
      <c r="F12" s="44" t="n">
        <v>2.07</v>
      </c>
      <c r="G12" s="43" t="s">
        <v>132</v>
      </c>
      <c r="H12" s="5" t="n">
        <f aca="false">IF(G12="USD",F12*Inputs!$B$5,F12)</f>
        <v>182.16</v>
      </c>
      <c r="I12" s="7" t="n">
        <f aca="false">E12*H12</f>
        <v>1457.28</v>
      </c>
      <c r="J12" s="16" t="str">
        <f aca="false">IF(G12="USD","Yes","No")</f>
        <v>Yes</v>
      </c>
      <c r="K12" s="16" t="s">
        <v>119</v>
      </c>
      <c r="L12" s="16" t="s">
        <v>262</v>
      </c>
    </row>
    <row r="13" customFormat="false" ht="15" hidden="false" customHeight="false" outlineLevel="0" collapsed="false">
      <c r="A13" s="16" t="n">
        <v>9</v>
      </c>
      <c r="B13" s="16" t="s">
        <v>255</v>
      </c>
      <c r="C13" s="16" t="s">
        <v>256</v>
      </c>
      <c r="D13" s="42" t="s">
        <v>263</v>
      </c>
      <c r="E13" s="43" t="n">
        <v>1</v>
      </c>
      <c r="F13" s="44" t="n">
        <v>72.58</v>
      </c>
      <c r="G13" s="43" t="s">
        <v>132</v>
      </c>
      <c r="H13" s="5" t="n">
        <f aca="false">IF(G13="USD",F13*Inputs!$B$5,F13)</f>
        <v>6387.04</v>
      </c>
      <c r="I13" s="7" t="n">
        <f aca="false">E13*H13</f>
        <v>6387.04</v>
      </c>
      <c r="J13" s="16" t="str">
        <f aca="false">IF(G13="USD","Yes","No")</f>
        <v>Yes</v>
      </c>
      <c r="K13" s="16" t="s">
        <v>119</v>
      </c>
      <c r="L13" s="16" t="s">
        <v>258</v>
      </c>
    </row>
    <row r="14" customFormat="false" ht="15" hidden="false" customHeight="false" outlineLevel="0" collapsed="false">
      <c r="A14" s="16" t="n">
        <v>10</v>
      </c>
      <c r="B14" s="16" t="s">
        <v>255</v>
      </c>
      <c r="C14" s="16" t="s">
        <v>256</v>
      </c>
      <c r="D14" s="42" t="s">
        <v>264</v>
      </c>
      <c r="E14" s="43" t="n">
        <v>1</v>
      </c>
      <c r="F14" s="44" t="n">
        <v>17.56</v>
      </c>
      <c r="G14" s="43" t="s">
        <v>132</v>
      </c>
      <c r="H14" s="5" t="n">
        <f aca="false">IF(G14="USD",F14*Inputs!$B$5,F14)</f>
        <v>1545.28</v>
      </c>
      <c r="I14" s="7" t="n">
        <f aca="false">E14*H14</f>
        <v>1545.28</v>
      </c>
      <c r="J14" s="16" t="str">
        <f aca="false">IF(G14="USD","Yes","No")</f>
        <v>Yes</v>
      </c>
      <c r="K14" s="16" t="s">
        <v>119</v>
      </c>
      <c r="L14" s="16" t="s">
        <v>252</v>
      </c>
    </row>
    <row r="15" customFormat="false" ht="15" hidden="false" customHeight="false" outlineLevel="0" collapsed="false">
      <c r="A15" s="36" t="n">
        <v>11</v>
      </c>
      <c r="B15" s="36" t="s">
        <v>265</v>
      </c>
      <c r="C15" s="36" t="s">
        <v>266</v>
      </c>
      <c r="D15" s="37" t="s">
        <v>267</v>
      </c>
      <c r="E15" s="38" t="n">
        <v>1</v>
      </c>
      <c r="F15" s="45" t="n">
        <v>85.99</v>
      </c>
      <c r="G15" s="38" t="s">
        <v>132</v>
      </c>
      <c r="H15" s="40" t="n">
        <f aca="false">IF(G15="USD",F15*Inputs!$B$5,F15)</f>
        <v>7567.12</v>
      </c>
      <c r="I15" s="41" t="n">
        <f aca="false">E15*H15</f>
        <v>7567.12</v>
      </c>
      <c r="J15" s="36" t="str">
        <f aca="false">IF(G15="USD","Yes","No")</f>
        <v>Yes</v>
      </c>
      <c r="K15" s="36" t="s">
        <v>119</v>
      </c>
      <c r="L15" s="36" t="s">
        <v>152</v>
      </c>
    </row>
    <row r="16" customFormat="false" ht="15" hidden="false" customHeight="false" outlineLevel="0" collapsed="false">
      <c r="A16" s="16" t="n">
        <v>12</v>
      </c>
      <c r="B16" s="16" t="s">
        <v>265</v>
      </c>
      <c r="C16" s="16" t="s">
        <v>266</v>
      </c>
      <c r="D16" s="42" t="s">
        <v>268</v>
      </c>
      <c r="E16" s="43" t="n">
        <v>1</v>
      </c>
      <c r="F16" s="44" t="n">
        <v>159</v>
      </c>
      <c r="G16" s="43" t="s">
        <v>132</v>
      </c>
      <c r="H16" s="5" t="n">
        <f aca="false">IF(G16="USD",F16*Inputs!$B$5,F16)</f>
        <v>13992</v>
      </c>
      <c r="I16" s="7" t="n">
        <f aca="false">E16*H16</f>
        <v>13992</v>
      </c>
      <c r="J16" s="16" t="str">
        <f aca="false">IF(G16="USD","Yes","No")</f>
        <v>Yes</v>
      </c>
      <c r="K16" s="16" t="s">
        <v>119</v>
      </c>
      <c r="L16" s="16" t="s">
        <v>269</v>
      </c>
    </row>
    <row r="17" customFormat="false" ht="15" hidden="false" customHeight="false" outlineLevel="0" collapsed="false">
      <c r="A17" s="36" t="n">
        <v>13</v>
      </c>
      <c r="B17" s="36" t="s">
        <v>270</v>
      </c>
      <c r="C17" s="36" t="s">
        <v>271</v>
      </c>
      <c r="D17" s="37" t="s">
        <v>272</v>
      </c>
      <c r="E17" s="38" t="n">
        <v>1</v>
      </c>
      <c r="F17" s="45" t="n">
        <v>110.99</v>
      </c>
      <c r="G17" s="38" t="s">
        <v>132</v>
      </c>
      <c r="H17" s="40" t="n">
        <f aca="false">IF(G17="USD",F17*Inputs!$B$5,F17)</f>
        <v>9767.12</v>
      </c>
      <c r="I17" s="41" t="n">
        <f aca="false">E17*H17</f>
        <v>9767.12</v>
      </c>
      <c r="J17" s="36" t="str">
        <f aca="false">IF(G17="USD","Yes","No")</f>
        <v>Yes</v>
      </c>
      <c r="K17" s="36" t="s">
        <v>119</v>
      </c>
      <c r="L17" s="36" t="s">
        <v>170</v>
      </c>
    </row>
    <row r="18" customFormat="false" ht="15" hidden="false" customHeight="false" outlineLevel="0" collapsed="false">
      <c r="A18" s="16" t="n">
        <v>14</v>
      </c>
      <c r="B18" s="16" t="s">
        <v>270</v>
      </c>
      <c r="C18" s="16" t="s">
        <v>271</v>
      </c>
      <c r="D18" s="42" t="s">
        <v>273</v>
      </c>
      <c r="E18" s="43" t="n">
        <v>1</v>
      </c>
      <c r="F18" s="44" t="n">
        <v>56.68</v>
      </c>
      <c r="G18" s="43" t="s">
        <v>132</v>
      </c>
      <c r="H18" s="5" t="n">
        <f aca="false">IF(G18="USD",F18*Inputs!$B$5,F18)</f>
        <v>4987.84</v>
      </c>
      <c r="I18" s="7" t="n">
        <f aca="false">E18*H18</f>
        <v>4987.84</v>
      </c>
      <c r="J18" s="16" t="str">
        <f aca="false">IF(G18="USD","Yes","No")</f>
        <v>Yes</v>
      </c>
      <c r="K18" s="16" t="s">
        <v>119</v>
      </c>
      <c r="L18" s="16" t="s">
        <v>170</v>
      </c>
    </row>
    <row r="19" customFormat="false" ht="15" hidden="false" customHeight="false" outlineLevel="0" collapsed="false">
      <c r="A19" s="16" t="n">
        <v>15</v>
      </c>
      <c r="B19" s="16" t="s">
        <v>270</v>
      </c>
      <c r="C19" s="16" t="s">
        <v>271</v>
      </c>
      <c r="D19" s="42" t="s">
        <v>274</v>
      </c>
      <c r="E19" s="43" t="n">
        <v>1</v>
      </c>
      <c r="F19" s="44" t="n">
        <v>40</v>
      </c>
      <c r="G19" s="43" t="s">
        <v>132</v>
      </c>
      <c r="H19" s="5" t="n">
        <f aca="false">IF(G19="USD",F19*Inputs!$B$5,F19)</f>
        <v>3520</v>
      </c>
      <c r="I19" s="7" t="n">
        <f aca="false">E19*H19</f>
        <v>3520</v>
      </c>
      <c r="J19" s="16" t="str">
        <f aca="false">IF(G19="USD","Yes","No")</f>
        <v>Yes</v>
      </c>
      <c r="K19" s="16" t="s">
        <v>122</v>
      </c>
      <c r="L19" s="16" t="s">
        <v>275</v>
      </c>
    </row>
    <row r="20" customFormat="false" ht="15" hidden="false" customHeight="false" outlineLevel="0" collapsed="false">
      <c r="A20" s="16" t="n">
        <v>16</v>
      </c>
      <c r="B20" s="16" t="s">
        <v>270</v>
      </c>
      <c r="C20" s="16" t="s">
        <v>271</v>
      </c>
      <c r="D20" s="42" t="s">
        <v>276</v>
      </c>
      <c r="E20" s="43" t="n">
        <v>1</v>
      </c>
      <c r="F20" s="22" t="n">
        <v>3000</v>
      </c>
      <c r="G20" s="43" t="s">
        <v>118</v>
      </c>
      <c r="H20" s="5" t="n">
        <f aca="false">IF(G20="USD",F20*Inputs!$B$5,F20)</f>
        <v>3000</v>
      </c>
      <c r="I20" s="7" t="n">
        <f aca="false">E20*H20</f>
        <v>3000</v>
      </c>
      <c r="J20" s="16" t="str">
        <f aca="false">IF(G20="USD","Yes","No")</f>
        <v>No</v>
      </c>
      <c r="K20" s="16" t="s">
        <v>122</v>
      </c>
      <c r="L20" s="16"/>
    </row>
    <row r="21" customFormat="false" ht="15" hidden="false" customHeight="false" outlineLevel="0" collapsed="false">
      <c r="A21" s="36" t="n">
        <v>17</v>
      </c>
      <c r="B21" s="36" t="s">
        <v>277</v>
      </c>
      <c r="C21" s="36" t="s">
        <v>278</v>
      </c>
      <c r="D21" s="37" t="s">
        <v>279</v>
      </c>
      <c r="E21" s="38" t="n">
        <v>1</v>
      </c>
      <c r="F21" s="39" t="n">
        <v>7500</v>
      </c>
      <c r="G21" s="38" t="s">
        <v>118</v>
      </c>
      <c r="H21" s="40" t="n">
        <f aca="false">IF(G21="USD",F21*Inputs!$B$5,F21)</f>
        <v>7500</v>
      </c>
      <c r="I21" s="41" t="n">
        <f aca="false">E21*H21</f>
        <v>7500</v>
      </c>
      <c r="J21" s="36" t="str">
        <f aca="false">IF(G21="USD","Yes","No")</f>
        <v>No</v>
      </c>
      <c r="K21" s="36" t="s">
        <v>119</v>
      </c>
      <c r="L21" s="36" t="s">
        <v>280</v>
      </c>
    </row>
    <row r="22" customFormat="false" ht="15" hidden="false" customHeight="false" outlineLevel="0" collapsed="false">
      <c r="A22" s="36" t="n">
        <v>18</v>
      </c>
      <c r="B22" s="36" t="s">
        <v>281</v>
      </c>
      <c r="C22" s="36" t="s">
        <v>282</v>
      </c>
      <c r="D22" s="37" t="s">
        <v>283</v>
      </c>
      <c r="E22" s="38" t="n">
        <v>1</v>
      </c>
      <c r="F22" s="39" t="n">
        <v>12000</v>
      </c>
      <c r="G22" s="38" t="s">
        <v>118</v>
      </c>
      <c r="H22" s="40" t="n">
        <f aca="false">IF(G22="USD",F22*Inputs!$B$5,F22)</f>
        <v>12000</v>
      </c>
      <c r="I22" s="41" t="n">
        <f aca="false">E22*H22</f>
        <v>12000</v>
      </c>
      <c r="J22" s="36" t="str">
        <f aca="false">IF(G22="USD","Yes","No")</f>
        <v>No</v>
      </c>
      <c r="K22" s="36" t="s">
        <v>122</v>
      </c>
      <c r="L22" s="36"/>
    </row>
    <row r="23" customFormat="false" ht="15" hidden="false" customHeight="false" outlineLevel="0" collapsed="false">
      <c r="A23" s="16" t="n">
        <v>19</v>
      </c>
      <c r="B23" s="16" t="s">
        <v>281</v>
      </c>
      <c r="C23" s="16" t="s">
        <v>282</v>
      </c>
      <c r="D23" s="42" t="s">
        <v>284</v>
      </c>
      <c r="E23" s="43" t="n">
        <v>1</v>
      </c>
      <c r="F23" s="22" t="n">
        <v>2500</v>
      </c>
      <c r="G23" s="43" t="s">
        <v>118</v>
      </c>
      <c r="H23" s="5" t="n">
        <f aca="false">IF(G23="USD",F23*Inputs!$B$5,F23)</f>
        <v>2500</v>
      </c>
      <c r="I23" s="7" t="n">
        <f aca="false">E23*H23</f>
        <v>2500</v>
      </c>
      <c r="J23" s="16" t="str">
        <f aca="false">IF(G23="USD","Yes","No")</f>
        <v>No</v>
      </c>
      <c r="K23" s="16" t="s">
        <v>122</v>
      </c>
      <c r="L23" s="16"/>
    </row>
    <row r="25" customFormat="false" ht="15" hidden="false" customHeight="false" outlineLevel="0" collapsed="false">
      <c r="D25" s="46" t="s">
        <v>229</v>
      </c>
      <c r="I25" s="47" t="n">
        <f aca="false">SUM(I5:I23)</f>
        <v>114547.04</v>
      </c>
    </row>
    <row r="26" customFormat="false" ht="15" hidden="false" customHeight="false" outlineLevel="0" collapsed="false">
      <c r="D26" s="48" t="s">
        <v>230</v>
      </c>
      <c r="I26" s="49" t="n">
        <f aca="false">SUMIF(G5:G23,"USD",I5:I23)</f>
        <v>89547.04</v>
      </c>
    </row>
    <row r="27" customFormat="false" ht="15" hidden="false" customHeight="false" outlineLevel="0" collapsed="false">
      <c r="D27" s="48" t="s">
        <v>231</v>
      </c>
      <c r="I27" s="48" t="str">
        <f aca="false">COUNTIF(K5:K23,"Listing")&amp;" of "&amp;COUNTA(D5:D23)</f>
        <v>14 of 19</v>
      </c>
    </row>
    <row r="29" customFormat="false" ht="15" hidden="false" customHeight="false" outlineLevel="0" collapsed="false">
      <c r="A29" s="11" t="s">
        <v>285</v>
      </c>
    </row>
    <row r="30" customFormat="false" ht="30" hidden="false" customHeight="true" outlineLevel="0" collapsed="false">
      <c r="D30" s="3" t="s">
        <v>286</v>
      </c>
      <c r="I30" s="3" t="s">
        <v>287</v>
      </c>
      <c r="J30" s="3" t="s">
        <v>288</v>
      </c>
      <c r="K30" s="3" t="s">
        <v>29</v>
      </c>
    </row>
    <row r="31" customFormat="false" ht="15" hidden="false" customHeight="false" outlineLevel="0" collapsed="false">
      <c r="D31" s="16" t="s">
        <v>289</v>
      </c>
      <c r="I31" s="7" t="n">
        <f aca="false">SUMIF($B$5:$B$23,"P1",$I$5:$I$23)</f>
        <v>29496.72</v>
      </c>
      <c r="J31" s="30" t="n">
        <f aca="false">IF($I$40=0,0,I31/$I$40)</f>
        <v>0.203647136742268</v>
      </c>
      <c r="K31" s="18" t="s">
        <v>290</v>
      </c>
    </row>
    <row r="32" customFormat="false" ht="15" hidden="false" customHeight="false" outlineLevel="0" collapsed="false">
      <c r="D32" s="16" t="s">
        <v>291</v>
      </c>
      <c r="I32" s="7" t="n">
        <f aca="false">SUMIF($B$5:$B$23,"P2",$I$5:$I$23)</f>
        <v>20216.24</v>
      </c>
      <c r="J32" s="30" t="n">
        <f aca="false">IF($I$40=0,0,I32/$I$40)</f>
        <v>0.139574142199353</v>
      </c>
      <c r="K32" s="18" t="s">
        <v>290</v>
      </c>
    </row>
    <row r="33" customFormat="false" ht="15" hidden="false" customHeight="false" outlineLevel="0" collapsed="false">
      <c r="D33" s="16" t="s">
        <v>292</v>
      </c>
      <c r="I33" s="7" t="n">
        <f aca="false">SUMIF($B$5:$B$23,"P3",$I$5:$I$23)</f>
        <v>21559.12</v>
      </c>
      <c r="J33" s="30" t="n">
        <f aca="false">IF($I$40=0,0,I33/$I$40)</f>
        <v>0.148845466841159</v>
      </c>
      <c r="K33" s="18" t="s">
        <v>290</v>
      </c>
    </row>
    <row r="34" customFormat="false" ht="15" hidden="false" customHeight="false" outlineLevel="0" collapsed="false">
      <c r="D34" s="16" t="s">
        <v>293</v>
      </c>
      <c r="I34" s="7" t="n">
        <f aca="false">SUMIF($B$5:$B$23,"P4",$I$5:$I$23)</f>
        <v>21274.96</v>
      </c>
      <c r="J34" s="30" t="n">
        <f aca="false">IF($I$40=0,0,I34/$I$40)</f>
        <v>0.146883609035387</v>
      </c>
      <c r="K34" s="18" t="s">
        <v>290</v>
      </c>
    </row>
    <row r="35" customFormat="false" ht="15" hidden="false" customHeight="false" outlineLevel="0" collapsed="false">
      <c r="D35" s="16" t="s">
        <v>294</v>
      </c>
      <c r="I35" s="7" t="n">
        <f aca="false">SUMIF($B$5:$B$23,"P5",$I$5:$I$23)</f>
        <v>7500</v>
      </c>
      <c r="J35" s="30" t="n">
        <f aca="false">IF($I$40=0,0,I35/$I$40)</f>
        <v>0.0517804530662056</v>
      </c>
      <c r="K35" s="18" t="s">
        <v>290</v>
      </c>
    </row>
    <row r="36" customFormat="false" ht="15" hidden="false" customHeight="false" outlineLevel="0" collapsed="false">
      <c r="D36" s="16" t="s">
        <v>295</v>
      </c>
      <c r="I36" s="7" t="n">
        <f aca="false">SUMIF($B$5:$B$23,"P6",$I$5:$I$23)</f>
        <v>14500</v>
      </c>
      <c r="J36" s="30" t="n">
        <f aca="false">IF($I$40=0,0,I36/$I$40)</f>
        <v>0.100108875927998</v>
      </c>
      <c r="K36" s="18" t="s">
        <v>290</v>
      </c>
    </row>
    <row r="37" customFormat="false" ht="15" hidden="false" customHeight="false" outlineLevel="0" collapsed="false">
      <c r="D37" s="16" t="s">
        <v>296</v>
      </c>
      <c r="I37" s="7" t="n">
        <f aca="false">SUMIF($G$5:$G$23,"USD",$I$5:$I$23)*Inputs!$B$8</f>
        <v>14775.2616</v>
      </c>
      <c r="J37" s="30" t="n">
        <f aca="false">IF($I$40=0,0,I37/$I$40)</f>
        <v>0.102009298642628</v>
      </c>
      <c r="K37" s="18" t="s">
        <v>297</v>
      </c>
    </row>
    <row r="38" customFormat="false" ht="15" hidden="false" customHeight="false" outlineLevel="0" collapsed="false">
      <c r="D38" s="16" t="s">
        <v>298</v>
      </c>
      <c r="I38" s="7" t="n">
        <f aca="false">Inputs!$B$9</f>
        <v>3520</v>
      </c>
      <c r="J38" s="30" t="n">
        <f aca="false">IF($I$40=0,0,I38/$I$40)</f>
        <v>0.0243022926390725</v>
      </c>
      <c r="K38" s="18" t="s">
        <v>299</v>
      </c>
    </row>
    <row r="39" customFormat="false" ht="15" hidden="false" customHeight="false" outlineLevel="0" collapsed="false">
      <c r="D39" s="16" t="s">
        <v>300</v>
      </c>
      <c r="I39" s="7" t="n">
        <f aca="false">Inputs!$B$11</f>
        <v>12000</v>
      </c>
      <c r="J39" s="30" t="n">
        <f aca="false">IF($I$40=0,0,I39/$I$40)</f>
        <v>0.082848724905929</v>
      </c>
      <c r="K39" s="18" t="s">
        <v>301</v>
      </c>
    </row>
    <row r="40" customFormat="false" ht="15" hidden="false" customHeight="false" outlineLevel="0" collapsed="false">
      <c r="D40" s="8" t="s">
        <v>302</v>
      </c>
      <c r="I40" s="9" t="n">
        <f aca="false">SUM(I31:I39)</f>
        <v>144842.3016</v>
      </c>
      <c r="J40" s="50" t="n">
        <f aca="false">IF($I$40=0,0,I40/$I$40)</f>
        <v>1</v>
      </c>
      <c r="K40" s="8"/>
    </row>
  </sheetData>
  <autoFilter ref="A4:L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15" hidden="false" customHeight="false" outlineLevel="0" collapsed="false">
      <c r="A4" s="11" t="s">
        <v>305</v>
      </c>
    </row>
    <row r="5" customFormat="false" ht="30" hidden="false" customHeight="true" outlineLevel="0" collapsed="false">
      <c r="A5" s="3" t="s">
        <v>306</v>
      </c>
      <c r="B5" s="3" t="s">
        <v>44</v>
      </c>
      <c r="C5" s="3" t="s">
        <v>307</v>
      </c>
    </row>
    <row r="6" customFormat="false" ht="15" hidden="false" customHeight="false" outlineLevel="0" collapsed="false">
      <c r="A6" s="16" t="s">
        <v>308</v>
      </c>
      <c r="B6" s="5" t="n">
        <f aca="false">'Baker Cost Breakup'!E15</f>
        <v>312464.56</v>
      </c>
      <c r="C6" s="18" t="s">
        <v>309</v>
      </c>
    </row>
    <row r="7" customFormat="false" ht="15" hidden="false" customHeight="false" outlineLevel="0" collapsed="false">
      <c r="A7" s="16" t="s">
        <v>310</v>
      </c>
      <c r="B7" s="5" t="n">
        <f aca="false">'Baker Cost Breakup'!G15</f>
        <v>12246.696</v>
      </c>
      <c r="C7" s="18" t="s">
        <v>311</v>
      </c>
    </row>
    <row r="8" customFormat="false" ht="15" hidden="false" customHeight="false" outlineLevel="0" collapsed="false">
      <c r="A8" s="16" t="s">
        <v>312</v>
      </c>
      <c r="B8" s="7" t="n">
        <f aca="false">B6+B7</f>
        <v>324711.256</v>
      </c>
      <c r="C8" s="18"/>
    </row>
    <row r="9" customFormat="false" ht="15" hidden="false" customHeight="false" outlineLevel="0" collapsed="false">
      <c r="A9" s="16" t="s">
        <v>313</v>
      </c>
      <c r="B9" s="7" t="n">
        <f aca="false">B8*Inputs!$B$7</f>
        <v>48706.6884</v>
      </c>
      <c r="C9" s="18" t="s">
        <v>314</v>
      </c>
    </row>
    <row r="10" customFormat="false" ht="15" hidden="false" customHeight="false" outlineLevel="0" collapsed="false">
      <c r="A10" s="26" t="s">
        <v>315</v>
      </c>
      <c r="B10" s="27" t="n">
        <f aca="false">B8+B9</f>
        <v>373417.9444</v>
      </c>
      <c r="C10" s="52" t="s">
        <v>316</v>
      </c>
    </row>
    <row r="11" customFormat="false" ht="15" hidden="false" customHeight="false" outlineLevel="0" collapsed="false">
      <c r="A11" s="2" t="s">
        <v>317</v>
      </c>
      <c r="B11" s="31" t="str">
        <f aca="false">IF(ABS(B10-'Baker Cost Breakup'!J15)&lt;1,"OK","MISMATCH")</f>
        <v>OK</v>
      </c>
    </row>
    <row r="12" customFormat="false" ht="15" hidden="false" customHeight="false" outlineLevel="0" collapsed="false">
      <c r="A12" s="2" t="s">
        <v>318</v>
      </c>
      <c r="B12" s="15" t="str">
        <f aca="false">COUNTIF('Baker BOM'!K5:K74,"Listing")&amp;" of "&amp;COUNTA('Baker BOM'!D5:D74)</f>
        <v>58 of 70</v>
      </c>
    </row>
    <row r="14" customFormat="false" ht="15" hidden="false" customHeight="false" outlineLevel="0" collapsed="false">
      <c r="A14" s="11" t="s">
        <v>319</v>
      </c>
    </row>
    <row r="15" customFormat="false" ht="30" hidden="false" customHeight="true" outlineLevel="0" collapsed="false">
      <c r="A15" s="3" t="s">
        <v>320</v>
      </c>
      <c r="B15" s="3" t="s">
        <v>44</v>
      </c>
      <c r="C15" s="3" t="s">
        <v>29</v>
      </c>
    </row>
    <row r="16" customFormat="false" ht="15" hidden="false" customHeight="false" outlineLevel="0" collapsed="false">
      <c r="A16" s="16" t="s">
        <v>321</v>
      </c>
      <c r="B16" s="7" t="n">
        <f aca="false">B10</f>
        <v>373417.9444</v>
      </c>
      <c r="C16" s="18" t="s">
        <v>322</v>
      </c>
    </row>
    <row r="17" customFormat="false" ht="15" hidden="false" customHeight="false" outlineLevel="0" collapsed="false">
      <c r="A17" s="53" t="s">
        <v>323</v>
      </c>
      <c r="B17" s="54" t="n">
        <f aca="false">'Baker Production (CN)'!I40</f>
        <v>144842.3016</v>
      </c>
      <c r="C17" s="52" t="s">
        <v>324</v>
      </c>
    </row>
    <row r="18" customFormat="false" ht="15" hidden="false" customHeight="false" outlineLevel="0" collapsed="false">
      <c r="A18" s="16" t="s">
        <v>4</v>
      </c>
      <c r="B18" s="5" t="n">
        <f aca="false">Inputs!$B$13</f>
        <v>150000</v>
      </c>
      <c r="C18" s="18" t="s">
        <v>299</v>
      </c>
    </row>
    <row r="19" customFormat="false" ht="15" hidden="false" customHeight="false" outlineLevel="0" collapsed="false">
      <c r="A19" s="16" t="s">
        <v>325</v>
      </c>
      <c r="B19" s="6" t="n">
        <f aca="false">B18-B17</f>
        <v>5157.69839999999</v>
      </c>
      <c r="C19" s="18" t="s">
        <v>326</v>
      </c>
    </row>
    <row r="20" customFormat="false" ht="15" hidden="false" customHeight="false" outlineLevel="0" collapsed="false">
      <c r="A20" s="16" t="s">
        <v>327</v>
      </c>
      <c r="B20" s="30" t="n">
        <f aca="false">IF(B18=0,0,B17/B18)</f>
        <v>0.965615344</v>
      </c>
      <c r="C20" s="18"/>
    </row>
    <row r="21" customFormat="false" ht="15" hidden="false" customHeight="false" outlineLevel="0" collapsed="false">
      <c r="A21" s="16" t="s">
        <v>328</v>
      </c>
      <c r="B21" s="7" t="n">
        <f aca="false">B16-B17</f>
        <v>228575.6428</v>
      </c>
      <c r="C21" s="18"/>
    </row>
    <row r="22" customFormat="false" ht="15" hidden="false" customHeight="false" outlineLevel="0" collapsed="false">
      <c r="A22" s="16" t="s">
        <v>329</v>
      </c>
      <c r="B22" s="30" t="n">
        <f aca="false">IF(B16=0,0,B21/B16)</f>
        <v>0.612117457738327</v>
      </c>
      <c r="C22" s="18"/>
    </row>
    <row r="23" customFormat="false" ht="15" hidden="false" customHeight="false" outlineLevel="0" collapsed="false">
      <c r="A23" s="16" t="s">
        <v>330</v>
      </c>
      <c r="B23" s="7" t="n">
        <f aca="false">B17*(1+Inputs!$B$16)</f>
        <v>159326.53176</v>
      </c>
      <c r="C23" s="18" t="s">
        <v>331</v>
      </c>
    </row>
    <row r="24" customFormat="false" ht="15" hidden="false" customHeight="false" outlineLevel="0" collapsed="false">
      <c r="A24" s="16" t="s">
        <v>332</v>
      </c>
      <c r="B24" s="6" t="n">
        <f aca="false">B18-B23</f>
        <v>-9326.53176000001</v>
      </c>
      <c r="C24" s="18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30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</row>
    <row r="5" customFormat="false" ht="15" hidden="false" customHeight="false" outlineLevel="0" collapsed="false">
      <c r="A5" s="36" t="n">
        <v>1</v>
      </c>
      <c r="B5" s="36" t="s">
        <v>336</v>
      </c>
      <c r="C5" s="36" t="s">
        <v>337</v>
      </c>
      <c r="D5" s="37" t="s">
        <v>338</v>
      </c>
      <c r="E5" s="38" t="n">
        <v>1</v>
      </c>
      <c r="F5" s="39" t="n">
        <v>9499</v>
      </c>
      <c r="G5" s="38" t="s">
        <v>118</v>
      </c>
      <c r="H5" s="40" t="n">
        <f aca="false">IF(G5="USD",F5*Inputs!$B$5,F5)</f>
        <v>9499</v>
      </c>
      <c r="I5" s="41" t="n">
        <f aca="false">E5*H5</f>
        <v>9499</v>
      </c>
      <c r="J5" s="36" t="str">
        <f aca="false">IF(G5="USD","Yes","No")</f>
        <v>No</v>
      </c>
      <c r="K5" s="36" t="s">
        <v>119</v>
      </c>
      <c r="L5" s="36" t="s">
        <v>141</v>
      </c>
    </row>
    <row r="6" customFormat="false" ht="15" hidden="false" customHeight="false" outlineLevel="0" collapsed="false">
      <c r="A6" s="16" t="n">
        <v>2</v>
      </c>
      <c r="B6" s="16" t="s">
        <v>336</v>
      </c>
      <c r="C6" s="16" t="s">
        <v>337</v>
      </c>
      <c r="D6" s="42" t="s">
        <v>339</v>
      </c>
      <c r="E6" s="43" t="n">
        <v>2</v>
      </c>
      <c r="F6" s="44" t="n">
        <v>26.2</v>
      </c>
      <c r="G6" s="43" t="s">
        <v>132</v>
      </c>
      <c r="H6" s="5" t="n">
        <f aca="false">IF(G6="USD",F6*Inputs!$B$5,F6)</f>
        <v>2305.6</v>
      </c>
      <c r="I6" s="7" t="n">
        <f aca="false">E6*H6</f>
        <v>4611.2</v>
      </c>
      <c r="J6" s="16" t="str">
        <f aca="false">IF(G6="USD","Yes","No")</f>
        <v>Yes</v>
      </c>
      <c r="K6" s="16" t="s">
        <v>119</v>
      </c>
      <c r="L6" s="16" t="s">
        <v>340</v>
      </c>
    </row>
    <row r="7" customFormat="false" ht="15" hidden="false" customHeight="false" outlineLevel="0" collapsed="false">
      <c r="A7" s="16" t="n">
        <v>3</v>
      </c>
      <c r="B7" s="16" t="s">
        <v>336</v>
      </c>
      <c r="C7" s="16" t="s">
        <v>337</v>
      </c>
      <c r="D7" s="42" t="s">
        <v>341</v>
      </c>
      <c r="E7" s="43" t="n">
        <v>1</v>
      </c>
      <c r="F7" s="22" t="n">
        <v>4088</v>
      </c>
      <c r="G7" s="43" t="s">
        <v>118</v>
      </c>
      <c r="H7" s="5" t="n">
        <f aca="false">IF(G7="USD",F7*Inputs!$B$5,F7)</f>
        <v>4088</v>
      </c>
      <c r="I7" s="7" t="n">
        <f aca="false">E7*H7</f>
        <v>4088</v>
      </c>
      <c r="J7" s="16" t="str">
        <f aca="false">IF(G7="USD","Yes","No")</f>
        <v>No</v>
      </c>
      <c r="K7" s="16" t="s">
        <v>119</v>
      </c>
      <c r="L7" s="16" t="s">
        <v>172</v>
      </c>
    </row>
    <row r="8" customFormat="false" ht="15" hidden="false" customHeight="false" outlineLevel="0" collapsed="false">
      <c r="A8" s="36" t="n">
        <v>4</v>
      </c>
      <c r="B8" s="36" t="s">
        <v>342</v>
      </c>
      <c r="C8" s="36" t="s">
        <v>343</v>
      </c>
      <c r="D8" s="37" t="s">
        <v>344</v>
      </c>
      <c r="E8" s="38" t="n">
        <v>4</v>
      </c>
      <c r="F8" s="45" t="n">
        <v>9</v>
      </c>
      <c r="G8" s="38" t="s">
        <v>132</v>
      </c>
      <c r="H8" s="40" t="n">
        <f aca="false">IF(G8="USD",F8*Inputs!$B$5,F8)</f>
        <v>792</v>
      </c>
      <c r="I8" s="41" t="n">
        <f aca="false">E8*H8</f>
        <v>3168</v>
      </c>
      <c r="J8" s="36" t="str">
        <f aca="false">IF(G8="USD","Yes","No")</f>
        <v>Yes</v>
      </c>
      <c r="K8" s="36" t="s">
        <v>119</v>
      </c>
      <c r="L8" s="36" t="s">
        <v>345</v>
      </c>
    </row>
    <row r="9" customFormat="false" ht="15" hidden="false" customHeight="false" outlineLevel="0" collapsed="false">
      <c r="A9" s="16" t="n">
        <v>5</v>
      </c>
      <c r="B9" s="16" t="s">
        <v>342</v>
      </c>
      <c r="C9" s="16" t="s">
        <v>343</v>
      </c>
      <c r="D9" s="42" t="s">
        <v>346</v>
      </c>
      <c r="E9" s="43" t="n">
        <v>2</v>
      </c>
      <c r="F9" s="44" t="n">
        <v>0.94</v>
      </c>
      <c r="G9" s="43" t="s">
        <v>132</v>
      </c>
      <c r="H9" s="5" t="n">
        <f aca="false">IF(G9="USD",F9*Inputs!$B$5,F9)</f>
        <v>82.72</v>
      </c>
      <c r="I9" s="7" t="n">
        <f aca="false">E9*H9</f>
        <v>165.44</v>
      </c>
      <c r="J9" s="16" t="str">
        <f aca="false">IF(G9="USD","Yes","No")</f>
        <v>Yes</v>
      </c>
      <c r="K9" s="16" t="s">
        <v>119</v>
      </c>
      <c r="L9" s="16" t="s">
        <v>262</v>
      </c>
    </row>
    <row r="10" customFormat="false" ht="15" hidden="false" customHeight="false" outlineLevel="0" collapsed="false">
      <c r="A10" s="16" t="n">
        <v>6</v>
      </c>
      <c r="B10" s="16" t="s">
        <v>342</v>
      </c>
      <c r="C10" s="16" t="s">
        <v>343</v>
      </c>
      <c r="D10" s="42" t="s">
        <v>347</v>
      </c>
      <c r="E10" s="43" t="n">
        <v>1</v>
      </c>
      <c r="F10" s="22" t="n">
        <v>1349</v>
      </c>
      <c r="G10" s="43" t="s">
        <v>118</v>
      </c>
      <c r="H10" s="5" t="n">
        <f aca="false">IF(G10="USD",F10*Inputs!$B$5,F10)</f>
        <v>1349</v>
      </c>
      <c r="I10" s="7" t="n">
        <f aca="false">E10*H10</f>
        <v>1349</v>
      </c>
      <c r="J10" s="16" t="str">
        <f aca="false">IF(G10="USD","Yes","No")</f>
        <v>No</v>
      </c>
      <c r="K10" s="16" t="s">
        <v>119</v>
      </c>
      <c r="L10" s="16" t="s">
        <v>120</v>
      </c>
    </row>
    <row r="11" customFormat="false" ht="15" hidden="false" customHeight="false" outlineLevel="0" collapsed="false">
      <c r="A11" s="16" t="n">
        <v>7</v>
      </c>
      <c r="B11" s="16" t="s">
        <v>342</v>
      </c>
      <c r="C11" s="16" t="s">
        <v>343</v>
      </c>
      <c r="D11" s="42" t="s">
        <v>348</v>
      </c>
      <c r="E11" s="43" t="n">
        <v>1</v>
      </c>
      <c r="F11" s="22" t="n">
        <v>779</v>
      </c>
      <c r="G11" s="43" t="s">
        <v>118</v>
      </c>
      <c r="H11" s="5" t="n">
        <f aca="false">IF(G11="USD",F11*Inputs!$B$5,F11)</f>
        <v>779</v>
      </c>
      <c r="I11" s="7" t="n">
        <f aca="false">E11*H11</f>
        <v>779</v>
      </c>
      <c r="J11" s="16" t="str">
        <f aca="false">IF(G11="USD","Yes","No")</f>
        <v>No</v>
      </c>
      <c r="K11" s="16" t="s">
        <v>119</v>
      </c>
      <c r="L11" s="16" t="s">
        <v>120</v>
      </c>
    </row>
    <row r="12" customFormat="false" ht="15" hidden="false" customHeight="false" outlineLevel="0" collapsed="false">
      <c r="A12" s="16" t="n">
        <v>8</v>
      </c>
      <c r="B12" s="16" t="s">
        <v>342</v>
      </c>
      <c r="C12" s="16" t="s">
        <v>343</v>
      </c>
      <c r="D12" s="42" t="s">
        <v>349</v>
      </c>
      <c r="E12" s="43" t="n">
        <v>2</v>
      </c>
      <c r="F12" s="22" t="n">
        <v>529</v>
      </c>
      <c r="G12" s="43" t="s">
        <v>118</v>
      </c>
      <c r="H12" s="5" t="n">
        <f aca="false">IF(G12="USD",F12*Inputs!$B$5,F12)</f>
        <v>529</v>
      </c>
      <c r="I12" s="7" t="n">
        <f aca="false">E12*H12</f>
        <v>1058</v>
      </c>
      <c r="J12" s="16" t="str">
        <f aca="false">IF(G12="USD","Yes","No")</f>
        <v>No</v>
      </c>
      <c r="K12" s="16" t="s">
        <v>119</v>
      </c>
      <c r="L12" s="16" t="s">
        <v>141</v>
      </c>
    </row>
    <row r="13" customFormat="false" ht="15" hidden="false" customHeight="false" outlineLevel="0" collapsed="false">
      <c r="A13" s="16" t="n">
        <v>9</v>
      </c>
      <c r="B13" s="16" t="s">
        <v>342</v>
      </c>
      <c r="C13" s="16" t="s">
        <v>343</v>
      </c>
      <c r="D13" s="42" t="s">
        <v>350</v>
      </c>
      <c r="E13" s="43" t="n">
        <v>2</v>
      </c>
      <c r="F13" s="22" t="n">
        <v>229</v>
      </c>
      <c r="G13" s="43" t="s">
        <v>118</v>
      </c>
      <c r="H13" s="5" t="n">
        <f aca="false">IF(G13="USD",F13*Inputs!$B$5,F13)</f>
        <v>229</v>
      </c>
      <c r="I13" s="7" t="n">
        <f aca="false">E13*H13</f>
        <v>458</v>
      </c>
      <c r="J13" s="16" t="str">
        <f aca="false">IF(G13="USD","Yes","No")</f>
        <v>No</v>
      </c>
      <c r="K13" s="16" t="s">
        <v>119</v>
      </c>
      <c r="L13" s="16" t="s">
        <v>120</v>
      </c>
    </row>
    <row r="14" customFormat="false" ht="15" hidden="false" customHeight="false" outlineLevel="0" collapsed="false">
      <c r="A14" s="16" t="n">
        <v>10</v>
      </c>
      <c r="B14" s="16" t="s">
        <v>342</v>
      </c>
      <c r="C14" s="16" t="s">
        <v>343</v>
      </c>
      <c r="D14" s="42" t="s">
        <v>351</v>
      </c>
      <c r="E14" s="43" t="n">
        <v>8</v>
      </c>
      <c r="F14" s="22" t="n">
        <v>49</v>
      </c>
      <c r="G14" s="43" t="s">
        <v>118</v>
      </c>
      <c r="H14" s="5" t="n">
        <f aca="false">IF(G14="USD",F14*Inputs!$B$5,F14)</f>
        <v>49</v>
      </c>
      <c r="I14" s="7" t="n">
        <f aca="false">E14*H14</f>
        <v>392</v>
      </c>
      <c r="J14" s="16" t="str">
        <f aca="false">IF(G14="USD","Yes","No")</f>
        <v>No</v>
      </c>
      <c r="K14" s="16" t="s">
        <v>119</v>
      </c>
      <c r="L14" s="16" t="s">
        <v>141</v>
      </c>
    </row>
    <row r="15" customFormat="false" ht="15" hidden="false" customHeight="false" outlineLevel="0" collapsed="false">
      <c r="A15" s="16" t="n">
        <v>11</v>
      </c>
      <c r="B15" s="16" t="s">
        <v>342</v>
      </c>
      <c r="C15" s="16" t="s">
        <v>343</v>
      </c>
      <c r="D15" s="42" t="s">
        <v>352</v>
      </c>
      <c r="E15" s="43" t="n">
        <v>2</v>
      </c>
      <c r="F15" s="44" t="n">
        <v>1.49</v>
      </c>
      <c r="G15" s="43" t="s">
        <v>132</v>
      </c>
      <c r="H15" s="5" t="n">
        <f aca="false">IF(G15="USD",F15*Inputs!$B$5,F15)</f>
        <v>131.12</v>
      </c>
      <c r="I15" s="7" t="n">
        <f aca="false">E15*H15</f>
        <v>262.24</v>
      </c>
      <c r="J15" s="16" t="str">
        <f aca="false">IF(G15="USD","Yes","No")</f>
        <v>Yes</v>
      </c>
      <c r="K15" s="16" t="s">
        <v>119</v>
      </c>
      <c r="L15" s="16" t="s">
        <v>353</v>
      </c>
    </row>
    <row r="16" customFormat="false" ht="15" hidden="false" customHeight="false" outlineLevel="0" collapsed="false">
      <c r="A16" s="16" t="n">
        <v>12</v>
      </c>
      <c r="B16" s="16" t="s">
        <v>342</v>
      </c>
      <c r="C16" s="16" t="s">
        <v>343</v>
      </c>
      <c r="D16" s="42" t="s">
        <v>354</v>
      </c>
      <c r="E16" s="43" t="n">
        <v>1</v>
      </c>
      <c r="F16" s="22" t="n">
        <v>2520</v>
      </c>
      <c r="G16" s="43" t="s">
        <v>118</v>
      </c>
      <c r="H16" s="5" t="n">
        <f aca="false">IF(G16="USD",F16*Inputs!$B$5,F16)</f>
        <v>2520</v>
      </c>
      <c r="I16" s="7" t="n">
        <f aca="false">E16*H16</f>
        <v>2520</v>
      </c>
      <c r="J16" s="16" t="str">
        <f aca="false">IF(G16="USD","Yes","No")</f>
        <v>No</v>
      </c>
      <c r="K16" s="16" t="s">
        <v>119</v>
      </c>
      <c r="L16" s="16" t="s">
        <v>355</v>
      </c>
    </row>
    <row r="17" customFormat="false" ht="15" hidden="false" customHeight="false" outlineLevel="0" collapsed="false">
      <c r="A17" s="16" t="n">
        <v>13</v>
      </c>
      <c r="B17" s="16" t="s">
        <v>342</v>
      </c>
      <c r="C17" s="16" t="s">
        <v>343</v>
      </c>
      <c r="D17" s="42" t="s">
        <v>356</v>
      </c>
      <c r="E17" s="43" t="n">
        <v>1</v>
      </c>
      <c r="F17" s="22" t="n">
        <v>2100</v>
      </c>
      <c r="G17" s="43" t="s">
        <v>118</v>
      </c>
      <c r="H17" s="5" t="n">
        <f aca="false">IF(G17="USD",F17*Inputs!$B$5,F17)</f>
        <v>2100</v>
      </c>
      <c r="I17" s="7" t="n">
        <f aca="false">E17*H17</f>
        <v>2100</v>
      </c>
      <c r="J17" s="16" t="str">
        <f aca="false">IF(G17="USD","Yes","No")</f>
        <v>No</v>
      </c>
      <c r="K17" s="16" t="s">
        <v>119</v>
      </c>
      <c r="L17" s="16" t="s">
        <v>355</v>
      </c>
    </row>
    <row r="18" customFormat="false" ht="15" hidden="false" customHeight="false" outlineLevel="0" collapsed="false">
      <c r="A18" s="16" t="n">
        <v>14</v>
      </c>
      <c r="B18" s="16" t="s">
        <v>342</v>
      </c>
      <c r="C18" s="16" t="s">
        <v>343</v>
      </c>
      <c r="D18" s="42" t="s">
        <v>357</v>
      </c>
      <c r="E18" s="43" t="n">
        <v>1</v>
      </c>
      <c r="F18" s="22" t="n">
        <v>3500</v>
      </c>
      <c r="G18" s="43" t="s">
        <v>118</v>
      </c>
      <c r="H18" s="5" t="n">
        <f aca="false">IF(G18="USD",F18*Inputs!$B$5,F18)</f>
        <v>3500</v>
      </c>
      <c r="I18" s="7" t="n">
        <f aca="false">E18*H18</f>
        <v>3500</v>
      </c>
      <c r="J18" s="16" t="str">
        <f aca="false">IF(G18="USD","Yes","No")</f>
        <v>No</v>
      </c>
      <c r="K18" s="16" t="s">
        <v>122</v>
      </c>
      <c r="L18" s="16" t="s">
        <v>358</v>
      </c>
    </row>
    <row r="19" customFormat="false" ht="15" hidden="false" customHeight="false" outlineLevel="0" collapsed="false">
      <c r="A19" s="36" t="n">
        <v>15</v>
      </c>
      <c r="B19" s="36" t="s">
        <v>359</v>
      </c>
      <c r="C19" s="36" t="s">
        <v>360</v>
      </c>
      <c r="D19" s="37" t="s">
        <v>361</v>
      </c>
      <c r="E19" s="38" t="n">
        <v>1</v>
      </c>
      <c r="F19" s="39" t="n">
        <v>13409</v>
      </c>
      <c r="G19" s="38" t="s">
        <v>118</v>
      </c>
      <c r="H19" s="40" t="n">
        <f aca="false">IF(G19="USD",F19*Inputs!$B$5,F19)</f>
        <v>13409</v>
      </c>
      <c r="I19" s="41" t="n">
        <f aca="false">E19*H19</f>
        <v>13409</v>
      </c>
      <c r="J19" s="36" t="str">
        <f aca="false">IF(G19="USD","Yes","No")</f>
        <v>No</v>
      </c>
      <c r="K19" s="36" t="s">
        <v>119</v>
      </c>
      <c r="L19" s="36" t="s">
        <v>120</v>
      </c>
    </row>
    <row r="20" customFormat="false" ht="15" hidden="false" customHeight="false" outlineLevel="0" collapsed="false">
      <c r="A20" s="16" t="n">
        <v>16</v>
      </c>
      <c r="B20" s="16" t="s">
        <v>359</v>
      </c>
      <c r="C20" s="16" t="s">
        <v>360</v>
      </c>
      <c r="D20" s="42" t="s">
        <v>202</v>
      </c>
      <c r="E20" s="43" t="n">
        <v>1</v>
      </c>
      <c r="F20" s="22" t="n">
        <v>1204</v>
      </c>
      <c r="G20" s="43" t="s">
        <v>118</v>
      </c>
      <c r="H20" s="5" t="n">
        <f aca="false">IF(G20="USD",F20*Inputs!$B$5,F20)</f>
        <v>1204</v>
      </c>
      <c r="I20" s="7" t="n">
        <f aca="false">E20*H20</f>
        <v>1204</v>
      </c>
      <c r="J20" s="16" t="str">
        <f aca="false">IF(G20="USD","Yes","No")</f>
        <v>No</v>
      </c>
      <c r="K20" s="16" t="s">
        <v>119</v>
      </c>
      <c r="L20" s="16" t="s">
        <v>203</v>
      </c>
    </row>
    <row r="21" customFormat="false" ht="15" hidden="false" customHeight="false" outlineLevel="0" collapsed="false">
      <c r="A21" s="16" t="n">
        <v>17</v>
      </c>
      <c r="B21" s="16" t="s">
        <v>359</v>
      </c>
      <c r="C21" s="16" t="s">
        <v>360</v>
      </c>
      <c r="D21" s="42" t="s">
        <v>204</v>
      </c>
      <c r="E21" s="43" t="n">
        <v>1</v>
      </c>
      <c r="F21" s="22" t="n">
        <v>518</v>
      </c>
      <c r="G21" s="43" t="s">
        <v>118</v>
      </c>
      <c r="H21" s="5" t="n">
        <f aca="false">IF(G21="USD",F21*Inputs!$B$5,F21)</f>
        <v>518</v>
      </c>
      <c r="I21" s="7" t="n">
        <f aca="false">E21*H21</f>
        <v>518</v>
      </c>
      <c r="J21" s="16" t="str">
        <f aca="false">IF(G21="USD","Yes","No")</f>
        <v>No</v>
      </c>
      <c r="K21" s="16" t="s">
        <v>119</v>
      </c>
      <c r="L21" s="16" t="s">
        <v>203</v>
      </c>
    </row>
    <row r="22" customFormat="false" ht="15" hidden="false" customHeight="false" outlineLevel="0" collapsed="false">
      <c r="A22" s="16" t="n">
        <v>18</v>
      </c>
      <c r="B22" s="16" t="s">
        <v>359</v>
      </c>
      <c r="C22" s="16" t="s">
        <v>360</v>
      </c>
      <c r="D22" s="42" t="s">
        <v>205</v>
      </c>
      <c r="E22" s="43" t="n">
        <v>1</v>
      </c>
      <c r="F22" s="22" t="n">
        <v>1949</v>
      </c>
      <c r="G22" s="43" t="s">
        <v>118</v>
      </c>
      <c r="H22" s="5" t="n">
        <f aca="false">IF(G22="USD",F22*Inputs!$B$5,F22)</f>
        <v>1949</v>
      </c>
      <c r="I22" s="7" t="n">
        <f aca="false">E22*H22</f>
        <v>1949</v>
      </c>
      <c r="J22" s="16" t="str">
        <f aca="false">IF(G22="USD","Yes","No")</f>
        <v>No</v>
      </c>
      <c r="K22" s="16" t="s">
        <v>119</v>
      </c>
      <c r="L22" s="16" t="s">
        <v>120</v>
      </c>
    </row>
    <row r="23" customFormat="false" ht="15" hidden="false" customHeight="false" outlineLevel="0" collapsed="false">
      <c r="A23" s="16" t="n">
        <v>19</v>
      </c>
      <c r="B23" s="16" t="s">
        <v>359</v>
      </c>
      <c r="C23" s="16" t="s">
        <v>360</v>
      </c>
      <c r="D23" s="42" t="s">
        <v>206</v>
      </c>
      <c r="E23" s="43" t="n">
        <v>1</v>
      </c>
      <c r="F23" s="22" t="n">
        <v>6799</v>
      </c>
      <c r="G23" s="43" t="s">
        <v>118</v>
      </c>
      <c r="H23" s="5" t="n">
        <f aca="false">IF(G23="USD",F23*Inputs!$B$5,F23)</f>
        <v>6799</v>
      </c>
      <c r="I23" s="7" t="n">
        <f aca="false">E23*H23</f>
        <v>6799</v>
      </c>
      <c r="J23" s="16" t="str">
        <f aca="false">IF(G23="USD","Yes","No")</f>
        <v>No</v>
      </c>
      <c r="K23" s="16" t="s">
        <v>119</v>
      </c>
      <c r="L23" s="16" t="s">
        <v>203</v>
      </c>
    </row>
    <row r="24" customFormat="false" ht="15" hidden="false" customHeight="false" outlineLevel="0" collapsed="false">
      <c r="A24" s="16" t="n">
        <v>20</v>
      </c>
      <c r="B24" s="16" t="s">
        <v>359</v>
      </c>
      <c r="C24" s="16" t="s">
        <v>360</v>
      </c>
      <c r="D24" s="42" t="s">
        <v>362</v>
      </c>
      <c r="E24" s="43" t="n">
        <v>4</v>
      </c>
      <c r="F24" s="22" t="n">
        <v>134</v>
      </c>
      <c r="G24" s="43" t="s">
        <v>118</v>
      </c>
      <c r="H24" s="5" t="n">
        <f aca="false">IF(G24="USD",F24*Inputs!$B$5,F24)</f>
        <v>134</v>
      </c>
      <c r="I24" s="7" t="n">
        <f aca="false">E24*H24</f>
        <v>536</v>
      </c>
      <c r="J24" s="16" t="str">
        <f aca="false">IF(G24="USD","Yes","No")</f>
        <v>No</v>
      </c>
      <c r="K24" s="16" t="s">
        <v>119</v>
      </c>
      <c r="L24" s="16" t="s">
        <v>120</v>
      </c>
    </row>
    <row r="25" customFormat="false" ht="15" hidden="false" customHeight="false" outlineLevel="0" collapsed="false">
      <c r="A25" s="16" t="n">
        <v>21</v>
      </c>
      <c r="B25" s="16" t="s">
        <v>359</v>
      </c>
      <c r="C25" s="16" t="s">
        <v>360</v>
      </c>
      <c r="D25" s="42" t="s">
        <v>363</v>
      </c>
      <c r="E25" s="43" t="n">
        <v>6</v>
      </c>
      <c r="F25" s="22" t="n">
        <v>19</v>
      </c>
      <c r="G25" s="43" t="s">
        <v>118</v>
      </c>
      <c r="H25" s="5" t="n">
        <f aca="false">IF(G25="USD",F25*Inputs!$B$5,F25)</f>
        <v>19</v>
      </c>
      <c r="I25" s="7" t="n">
        <f aca="false">E25*H25</f>
        <v>114</v>
      </c>
      <c r="J25" s="16" t="str">
        <f aca="false">IF(G25="USD","Yes","No")</f>
        <v>No</v>
      </c>
      <c r="K25" s="16" t="s">
        <v>119</v>
      </c>
      <c r="L25" s="16" t="s">
        <v>120</v>
      </c>
    </row>
    <row r="26" customFormat="false" ht="15" hidden="false" customHeight="false" outlineLevel="0" collapsed="false">
      <c r="A26" s="16" t="n">
        <v>22</v>
      </c>
      <c r="B26" s="16" t="s">
        <v>359</v>
      </c>
      <c r="C26" s="16" t="s">
        <v>360</v>
      </c>
      <c r="D26" s="42" t="s">
        <v>364</v>
      </c>
      <c r="E26" s="43" t="n">
        <v>2</v>
      </c>
      <c r="F26" s="22" t="n">
        <v>899</v>
      </c>
      <c r="G26" s="43" t="s">
        <v>118</v>
      </c>
      <c r="H26" s="5" t="n">
        <f aca="false">IF(G26="USD",F26*Inputs!$B$5,F26)</f>
        <v>899</v>
      </c>
      <c r="I26" s="7" t="n">
        <f aca="false">E26*H26</f>
        <v>1798</v>
      </c>
      <c r="J26" s="16" t="str">
        <f aca="false">IF(G26="USD","Yes","No")</f>
        <v>No</v>
      </c>
      <c r="K26" s="16" t="s">
        <v>119</v>
      </c>
      <c r="L26" s="16" t="s">
        <v>120</v>
      </c>
    </row>
    <row r="27" customFormat="false" ht="15" hidden="false" customHeight="false" outlineLevel="0" collapsed="false">
      <c r="A27" s="16" t="n">
        <v>23</v>
      </c>
      <c r="B27" s="16" t="s">
        <v>359</v>
      </c>
      <c r="C27" s="16" t="s">
        <v>360</v>
      </c>
      <c r="D27" s="42" t="s">
        <v>365</v>
      </c>
      <c r="E27" s="43" t="n">
        <v>1</v>
      </c>
      <c r="F27" s="22" t="n">
        <v>425</v>
      </c>
      <c r="G27" s="43" t="s">
        <v>118</v>
      </c>
      <c r="H27" s="5" t="n">
        <f aca="false">IF(G27="USD",F27*Inputs!$B$5,F27)</f>
        <v>425</v>
      </c>
      <c r="I27" s="7" t="n">
        <f aca="false">E27*H27</f>
        <v>425</v>
      </c>
      <c r="J27" s="16" t="str">
        <f aca="false">IF(G27="USD","Yes","No")</f>
        <v>No</v>
      </c>
      <c r="K27" s="16" t="s">
        <v>119</v>
      </c>
      <c r="L27" s="16" t="s">
        <v>120</v>
      </c>
    </row>
    <row r="28" customFormat="false" ht="15" hidden="false" customHeight="false" outlineLevel="0" collapsed="false">
      <c r="A28" s="36" t="n">
        <v>24</v>
      </c>
      <c r="B28" s="36" t="s">
        <v>366</v>
      </c>
      <c r="C28" s="36" t="s">
        <v>282</v>
      </c>
      <c r="D28" s="37" t="s">
        <v>367</v>
      </c>
      <c r="E28" s="38" t="n">
        <v>1</v>
      </c>
      <c r="F28" s="39" t="n">
        <v>800</v>
      </c>
      <c r="G28" s="38" t="s">
        <v>118</v>
      </c>
      <c r="H28" s="40" t="n">
        <f aca="false">IF(G28="USD",F28*Inputs!$B$5,F28)</f>
        <v>800</v>
      </c>
      <c r="I28" s="41" t="n">
        <f aca="false">E28*H28</f>
        <v>800</v>
      </c>
      <c r="J28" s="36" t="str">
        <f aca="false">IF(G28="USD","Yes","No")</f>
        <v>No</v>
      </c>
      <c r="K28" s="36" t="s">
        <v>122</v>
      </c>
      <c r="L28" s="36"/>
    </row>
    <row r="29" customFormat="false" ht="15" hidden="false" customHeight="false" outlineLevel="0" collapsed="false">
      <c r="A29" s="16" t="n">
        <v>25</v>
      </c>
      <c r="B29" s="16" t="s">
        <v>366</v>
      </c>
      <c r="C29" s="16" t="s">
        <v>282</v>
      </c>
      <c r="D29" s="42" t="s">
        <v>368</v>
      </c>
      <c r="E29" s="43" t="n">
        <v>1</v>
      </c>
      <c r="F29" s="22" t="n">
        <v>310</v>
      </c>
      <c r="G29" s="43" t="s">
        <v>118</v>
      </c>
      <c r="H29" s="5" t="n">
        <f aca="false">IF(G29="USD",F29*Inputs!$B$5,F29)</f>
        <v>310</v>
      </c>
      <c r="I29" s="7" t="n">
        <f aca="false">E29*H29</f>
        <v>310</v>
      </c>
      <c r="J29" s="16" t="str">
        <f aca="false">IF(G29="USD","Yes","No")</f>
        <v>No</v>
      </c>
      <c r="K29" s="16" t="s">
        <v>119</v>
      </c>
      <c r="L29" s="16" t="s">
        <v>126</v>
      </c>
    </row>
    <row r="30" customFormat="false" ht="15" hidden="false" customHeight="false" outlineLevel="0" collapsed="false">
      <c r="A30" s="16" t="n">
        <v>26</v>
      </c>
      <c r="B30" s="16" t="s">
        <v>366</v>
      </c>
      <c r="C30" s="16" t="s">
        <v>282</v>
      </c>
      <c r="D30" s="42" t="s">
        <v>369</v>
      </c>
      <c r="E30" s="43" t="n">
        <v>1</v>
      </c>
      <c r="F30" s="22" t="n">
        <v>400</v>
      </c>
      <c r="G30" s="43" t="s">
        <v>118</v>
      </c>
      <c r="H30" s="5" t="n">
        <f aca="false">IF(G30="USD",F30*Inputs!$B$5,F30)</f>
        <v>400</v>
      </c>
      <c r="I30" s="7" t="n">
        <f aca="false">E30*H30</f>
        <v>400</v>
      </c>
      <c r="J30" s="16" t="str">
        <f aca="false">IF(G30="USD","Yes","No")</f>
        <v>No</v>
      </c>
      <c r="K30" s="16" t="s">
        <v>122</v>
      </c>
      <c r="L30" s="16"/>
    </row>
    <row r="32" customFormat="false" ht="15" hidden="false" customHeight="false" outlineLevel="0" collapsed="false">
      <c r="D32" s="46" t="s">
        <v>229</v>
      </c>
      <c r="I32" s="47" t="n">
        <f aca="false">SUM(I5:I30)</f>
        <v>62211.88</v>
      </c>
    </row>
    <row r="33" customFormat="false" ht="15" hidden="false" customHeight="false" outlineLevel="0" collapsed="false">
      <c r="D33" s="48" t="s">
        <v>230</v>
      </c>
      <c r="I33" s="49" t="n">
        <f aca="false">SUMIF(G5:G30,"USD",I5:I30)</f>
        <v>8206.88</v>
      </c>
    </row>
    <row r="34" customFormat="false" ht="15" hidden="false" customHeight="false" outlineLevel="0" collapsed="false">
      <c r="D34" s="48" t="s">
        <v>231</v>
      </c>
      <c r="I34" s="48" t="str">
        <f aca="false">COUNTIF(K5:K30,"Listing")&amp;" of "&amp;COUNTA(D5:D30)</f>
        <v>23 of 26</v>
      </c>
    </row>
  </sheetData>
  <autoFilter ref="A4:L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30" hidden="false" customHeight="true" outlineLevel="0" collapsed="false">
      <c r="A4" s="3" t="s">
        <v>104</v>
      </c>
      <c r="B4" s="3" t="s">
        <v>105</v>
      </c>
      <c r="C4" s="3" t="s">
        <v>234</v>
      </c>
      <c r="D4" s="3" t="s">
        <v>235</v>
      </c>
      <c r="E4" s="3" t="s">
        <v>236</v>
      </c>
      <c r="F4" s="3" t="s">
        <v>237</v>
      </c>
      <c r="G4" s="3" t="s">
        <v>238</v>
      </c>
      <c r="H4" s="3" t="s">
        <v>239</v>
      </c>
      <c r="I4" s="3" t="s">
        <v>240</v>
      </c>
      <c r="J4" s="3" t="s">
        <v>241</v>
      </c>
      <c r="K4" s="3" t="s">
        <v>242</v>
      </c>
    </row>
    <row r="5" customFormat="false" ht="15" hidden="false" customHeight="false" outlineLevel="0" collapsed="false">
      <c r="A5" s="16" t="s">
        <v>336</v>
      </c>
      <c r="B5" s="16" t="s">
        <v>337</v>
      </c>
      <c r="C5" s="13" t="n">
        <f aca="false">COUNTIF('Mixer BOM'!$B$5:$B$30,A5)</f>
        <v>3</v>
      </c>
      <c r="D5" s="13" t="n">
        <f aca="false">COUNTIFS('Mixer BOM'!$B$5:$B$30,A5,'Mixer BOM'!$K$5:$K$30,"Listing")</f>
        <v>3</v>
      </c>
      <c r="E5" s="5" t="n">
        <f aca="false">SUMIF('Mixer BOM'!$B$5:$B$30,A5,'Mixer BOM'!$I$5:$I$30)</f>
        <v>18198.2</v>
      </c>
      <c r="F5" s="5" t="n">
        <f aca="false">SUMIFS('Mixer BOM'!$I$5:$I$30,'Mixer BOM'!$B$5:$B$30,A5,'Mixer BOM'!$G$5:$G$30,"USD")</f>
        <v>4611.2</v>
      </c>
      <c r="G5" s="7" t="n">
        <f aca="false">F5*Inputs!$B$6</f>
        <v>1613.92</v>
      </c>
      <c r="H5" s="7" t="n">
        <f aca="false">E5+G5</f>
        <v>19812.12</v>
      </c>
      <c r="I5" s="7" t="n">
        <f aca="false">H5*Inputs!$B$7</f>
        <v>2971.818</v>
      </c>
      <c r="J5" s="7" t="n">
        <f aca="false">H5+I5</f>
        <v>22783.938</v>
      </c>
      <c r="K5" s="30" t="n">
        <f aca="false">IF($J$9=0,0,J5/$J$9)</f>
        <v>0.304407109746672</v>
      </c>
    </row>
    <row r="6" customFormat="false" ht="15" hidden="false" customHeight="false" outlineLevel="0" collapsed="false">
      <c r="A6" s="16" t="s">
        <v>342</v>
      </c>
      <c r="B6" s="16" t="s">
        <v>343</v>
      </c>
      <c r="C6" s="13" t="n">
        <f aca="false">COUNTIF('Mixer BOM'!$B$5:$B$30,A6)</f>
        <v>11</v>
      </c>
      <c r="D6" s="13" t="n">
        <f aca="false">COUNTIFS('Mixer BOM'!$B$5:$B$30,A6,'Mixer BOM'!$K$5:$K$30,"Listing")</f>
        <v>10</v>
      </c>
      <c r="E6" s="5" t="n">
        <f aca="false">SUMIF('Mixer BOM'!$B$5:$B$30,A6,'Mixer BOM'!$I$5:$I$30)</f>
        <v>15751.68</v>
      </c>
      <c r="F6" s="5" t="n">
        <f aca="false">SUMIFS('Mixer BOM'!$I$5:$I$30,'Mixer BOM'!$B$5:$B$30,A6,'Mixer BOM'!$G$5:$G$30,"USD")</f>
        <v>3595.68</v>
      </c>
      <c r="G6" s="7" t="n">
        <f aca="false">F6*Inputs!$B$6</f>
        <v>1258.488</v>
      </c>
      <c r="H6" s="7" t="n">
        <f aca="false">E6+G6</f>
        <v>17010.168</v>
      </c>
      <c r="I6" s="7" t="n">
        <f aca="false">H6*Inputs!$B$7</f>
        <v>2551.5252</v>
      </c>
      <c r="J6" s="7" t="n">
        <f aca="false">H6+I6</f>
        <v>19561.6932</v>
      </c>
      <c r="K6" s="30" t="n">
        <f aca="false">IF($J$9=0,0,J6/$J$9)</f>
        <v>0.26135598195374</v>
      </c>
    </row>
    <row r="7" customFormat="false" ht="15" hidden="false" customHeight="false" outlineLevel="0" collapsed="false">
      <c r="A7" s="16" t="s">
        <v>359</v>
      </c>
      <c r="B7" s="16" t="s">
        <v>360</v>
      </c>
      <c r="C7" s="13" t="n">
        <f aca="false">COUNTIF('Mixer BOM'!$B$5:$B$30,A7)</f>
        <v>9</v>
      </c>
      <c r="D7" s="13" t="n">
        <f aca="false">COUNTIFS('Mixer BOM'!$B$5:$B$30,A7,'Mixer BOM'!$K$5:$K$30,"Listing")</f>
        <v>9</v>
      </c>
      <c r="E7" s="5" t="n">
        <f aca="false">SUMIF('Mixer BOM'!$B$5:$B$30,A7,'Mixer BOM'!$I$5:$I$30)</f>
        <v>26752</v>
      </c>
      <c r="F7" s="5" t="n">
        <f aca="false">SUMIFS('Mixer BOM'!$I$5:$I$30,'Mixer BOM'!$B$5:$B$30,A7,'Mixer BOM'!$G$5:$G$30,"USD")</f>
        <v>0</v>
      </c>
      <c r="G7" s="7" t="n">
        <f aca="false">F7*Inputs!$B$6</f>
        <v>0</v>
      </c>
      <c r="H7" s="7" t="n">
        <f aca="false">E7+G7</f>
        <v>26752</v>
      </c>
      <c r="I7" s="7" t="n">
        <f aca="false">H7*Inputs!$B$7</f>
        <v>4012.8</v>
      </c>
      <c r="J7" s="7" t="n">
        <f aca="false">H7+I7</f>
        <v>30764.8</v>
      </c>
      <c r="K7" s="30" t="n">
        <f aca="false">IF($J$9=0,0,J7/$J$9)</f>
        <v>0.411036224288111</v>
      </c>
    </row>
    <row r="8" customFormat="false" ht="15" hidden="false" customHeight="false" outlineLevel="0" collapsed="false">
      <c r="A8" s="16" t="s">
        <v>366</v>
      </c>
      <c r="B8" s="16" t="s">
        <v>282</v>
      </c>
      <c r="C8" s="13" t="n">
        <f aca="false">COUNTIF('Mixer BOM'!$B$5:$B$30,A8)</f>
        <v>3</v>
      </c>
      <c r="D8" s="13" t="n">
        <f aca="false">COUNTIFS('Mixer BOM'!$B$5:$B$30,A8,'Mixer BOM'!$K$5:$K$30,"Listing")</f>
        <v>1</v>
      </c>
      <c r="E8" s="5" t="n">
        <f aca="false">SUMIF('Mixer BOM'!$B$5:$B$30,A8,'Mixer BOM'!$I$5:$I$30)</f>
        <v>1510</v>
      </c>
      <c r="F8" s="5" t="n">
        <f aca="false">SUMIFS('Mixer BOM'!$I$5:$I$30,'Mixer BOM'!$B$5:$B$30,A8,'Mixer BOM'!$G$5:$G$30,"USD")</f>
        <v>0</v>
      </c>
      <c r="G8" s="7" t="n">
        <f aca="false">F8*Inputs!$B$6</f>
        <v>0</v>
      </c>
      <c r="H8" s="7" t="n">
        <f aca="false">E8+G8</f>
        <v>1510</v>
      </c>
      <c r="I8" s="7" t="n">
        <f aca="false">H8*Inputs!$B$7</f>
        <v>226.5</v>
      </c>
      <c r="J8" s="7" t="n">
        <f aca="false">H8+I8</f>
        <v>1736.5</v>
      </c>
      <c r="K8" s="30" t="n">
        <f aca="false">IF($J$9=0,0,J8/$J$9)</f>
        <v>0.0232006840114776</v>
      </c>
    </row>
    <row r="9" customFormat="false" ht="15" hidden="false" customHeight="false" outlineLevel="0" collapsed="false">
      <c r="A9" s="8"/>
      <c r="B9" s="8" t="s">
        <v>372</v>
      </c>
      <c r="C9" s="8" t="n">
        <f aca="false">SUM(C5:C8)</f>
        <v>26</v>
      </c>
      <c r="D9" s="8" t="n">
        <f aca="false">SUM(D5:D8)</f>
        <v>23</v>
      </c>
      <c r="E9" s="9" t="n">
        <f aca="false">SUM(E5:E8)</f>
        <v>62211.88</v>
      </c>
      <c r="F9" s="9" t="n">
        <f aca="false">SUM(F5:F8)</f>
        <v>8206.88</v>
      </c>
      <c r="G9" s="9" t="n">
        <f aca="false">SUM(G5:G8)</f>
        <v>2872.408</v>
      </c>
      <c r="H9" s="9" t="n">
        <f aca="false">SUM(H5:H8)</f>
        <v>65084.288</v>
      </c>
      <c r="I9" s="9" t="n">
        <f aca="false">SUM(I5:I8)</f>
        <v>9762.6432</v>
      </c>
      <c r="J9" s="9" t="n">
        <f aca="false">SUM(J5:J8)</f>
        <v>74846.9312</v>
      </c>
      <c r="K9" s="50" t="n">
        <f aca="false">SUM(K5:K8)</f>
        <v>1</v>
      </c>
    </row>
    <row r="11" customFormat="false" ht="30" hidden="false" customHeight="true" outlineLevel="0" collapsed="false">
      <c r="A11" s="51" t="s">
        <v>244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customFormat="false" ht="15" hidden="false" customHeight="false" outlineLevel="0" collapsed="false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</row>
  </sheetData>
  <mergeCells count="1">
    <mergeCell ref="A11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373</v>
      </c>
    </row>
    <row r="2" customFormat="false" ht="15" hidden="false" customHeight="false" outlineLevel="0" collapsed="false">
      <c r="A2" s="2" t="s">
        <v>374</v>
      </c>
    </row>
    <row r="4" customFormat="false" ht="30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</row>
    <row r="5" customFormat="false" ht="15" hidden="false" customHeight="false" outlineLevel="0" collapsed="false">
      <c r="A5" s="36" t="n">
        <v>1</v>
      </c>
      <c r="B5" s="36" t="s">
        <v>375</v>
      </c>
      <c r="C5" s="36" t="s">
        <v>376</v>
      </c>
      <c r="D5" s="37" t="s">
        <v>377</v>
      </c>
      <c r="E5" s="38" t="n">
        <v>1</v>
      </c>
      <c r="F5" s="45" t="n">
        <v>20</v>
      </c>
      <c r="G5" s="38" t="s">
        <v>132</v>
      </c>
      <c r="H5" s="40" t="n">
        <f aca="false">IF(G5="USD",F5*Inputs!$B$5,F5)</f>
        <v>1760</v>
      </c>
      <c r="I5" s="41" t="n">
        <f aca="false">E5*H5</f>
        <v>1760</v>
      </c>
      <c r="J5" s="36" t="str">
        <f aca="false">IF(G5="USD","Yes","No")</f>
        <v>Yes</v>
      </c>
      <c r="K5" s="36" t="s">
        <v>119</v>
      </c>
      <c r="L5" s="36" t="s">
        <v>378</v>
      </c>
    </row>
    <row r="6" customFormat="false" ht="15" hidden="false" customHeight="false" outlineLevel="0" collapsed="false">
      <c r="A6" s="16" t="n">
        <v>2</v>
      </c>
      <c r="B6" s="16" t="s">
        <v>375</v>
      </c>
      <c r="C6" s="16" t="s">
        <v>376</v>
      </c>
      <c r="D6" s="42" t="s">
        <v>379</v>
      </c>
      <c r="E6" s="43" t="n">
        <v>1</v>
      </c>
      <c r="F6" s="44" t="n">
        <v>6.7</v>
      </c>
      <c r="G6" s="43" t="s">
        <v>132</v>
      </c>
      <c r="H6" s="5" t="n">
        <f aca="false">IF(G6="USD",F6*Inputs!$B$5,F6)</f>
        <v>589.6</v>
      </c>
      <c r="I6" s="7" t="n">
        <f aca="false">E6*H6</f>
        <v>589.6</v>
      </c>
      <c r="J6" s="16" t="str">
        <f aca="false">IF(G6="USD","Yes","No")</f>
        <v>Yes</v>
      </c>
      <c r="K6" s="16" t="s">
        <v>119</v>
      </c>
      <c r="L6" s="16" t="s">
        <v>262</v>
      </c>
    </row>
    <row r="7" customFormat="false" ht="15" hidden="false" customHeight="false" outlineLevel="0" collapsed="false">
      <c r="A7" s="16" t="n">
        <v>3</v>
      </c>
      <c r="B7" s="16" t="s">
        <v>375</v>
      </c>
      <c r="C7" s="16" t="s">
        <v>376</v>
      </c>
      <c r="D7" s="42" t="s">
        <v>380</v>
      </c>
      <c r="E7" s="43" t="n">
        <v>2</v>
      </c>
      <c r="F7" s="44" t="n">
        <v>5.2</v>
      </c>
      <c r="G7" s="43" t="s">
        <v>132</v>
      </c>
      <c r="H7" s="5" t="n">
        <f aca="false">IF(G7="USD",F7*Inputs!$B$5,F7)</f>
        <v>457.6</v>
      </c>
      <c r="I7" s="7" t="n">
        <f aca="false">E7*H7</f>
        <v>915.2</v>
      </c>
      <c r="J7" s="16" t="str">
        <f aca="false">IF(G7="USD","Yes","No")</f>
        <v>Yes</v>
      </c>
      <c r="K7" s="16" t="s">
        <v>119</v>
      </c>
      <c r="L7" s="16" t="s">
        <v>262</v>
      </c>
    </row>
    <row r="8" customFormat="false" ht="15" hidden="false" customHeight="false" outlineLevel="0" collapsed="false">
      <c r="A8" s="16" t="n">
        <v>4</v>
      </c>
      <c r="B8" s="16" t="s">
        <v>375</v>
      </c>
      <c r="C8" s="16" t="s">
        <v>376</v>
      </c>
      <c r="D8" s="42" t="s">
        <v>381</v>
      </c>
      <c r="E8" s="43" t="n">
        <v>1</v>
      </c>
      <c r="F8" s="44" t="n">
        <v>6.36</v>
      </c>
      <c r="G8" s="43" t="s">
        <v>132</v>
      </c>
      <c r="H8" s="5" t="n">
        <f aca="false">IF(G8="USD",F8*Inputs!$B$5,F8)</f>
        <v>559.68</v>
      </c>
      <c r="I8" s="7" t="n">
        <f aca="false">E8*H8</f>
        <v>559.68</v>
      </c>
      <c r="J8" s="16" t="str">
        <f aca="false">IF(G8="USD","Yes","No")</f>
        <v>Yes</v>
      </c>
      <c r="K8" s="16" t="s">
        <v>119</v>
      </c>
      <c r="L8" s="16" t="s">
        <v>262</v>
      </c>
    </row>
    <row r="9" customFormat="false" ht="15" hidden="false" customHeight="false" outlineLevel="0" collapsed="false">
      <c r="A9" s="16" t="n">
        <v>5</v>
      </c>
      <c r="B9" s="16" t="s">
        <v>375</v>
      </c>
      <c r="C9" s="16" t="s">
        <v>376</v>
      </c>
      <c r="D9" s="42" t="s">
        <v>382</v>
      </c>
      <c r="E9" s="43" t="n">
        <v>1</v>
      </c>
      <c r="F9" s="44" t="n">
        <v>4.53</v>
      </c>
      <c r="G9" s="43" t="s">
        <v>132</v>
      </c>
      <c r="H9" s="5" t="n">
        <f aca="false">IF(G9="USD",F9*Inputs!$B$5,F9)</f>
        <v>398.64</v>
      </c>
      <c r="I9" s="7" t="n">
        <f aca="false">E9*H9</f>
        <v>398.64</v>
      </c>
      <c r="J9" s="16" t="str">
        <f aca="false">IF(G9="USD","Yes","No")</f>
        <v>Yes</v>
      </c>
      <c r="K9" s="16" t="s">
        <v>119</v>
      </c>
      <c r="L9" s="16" t="s">
        <v>262</v>
      </c>
    </row>
    <row r="10" customFormat="false" ht="15" hidden="false" customHeight="false" outlineLevel="0" collapsed="false">
      <c r="A10" s="16" t="n">
        <v>6</v>
      </c>
      <c r="B10" s="16" t="s">
        <v>375</v>
      </c>
      <c r="C10" s="16" t="s">
        <v>376</v>
      </c>
      <c r="D10" s="42" t="s">
        <v>383</v>
      </c>
      <c r="E10" s="43" t="n">
        <v>4</v>
      </c>
      <c r="F10" s="44" t="n">
        <v>7.06</v>
      </c>
      <c r="G10" s="43" t="s">
        <v>132</v>
      </c>
      <c r="H10" s="5" t="n">
        <f aca="false">IF(G10="USD",F10*Inputs!$B$5,F10)</f>
        <v>621.28</v>
      </c>
      <c r="I10" s="7" t="n">
        <f aca="false">E10*H10</f>
        <v>2485.12</v>
      </c>
      <c r="J10" s="16" t="str">
        <f aca="false">IF(G10="USD","Yes","No")</f>
        <v>Yes</v>
      </c>
      <c r="K10" s="16" t="s">
        <v>119</v>
      </c>
      <c r="L10" s="16" t="s">
        <v>262</v>
      </c>
    </row>
    <row r="11" customFormat="false" ht="15" hidden="false" customHeight="false" outlineLevel="0" collapsed="false">
      <c r="A11" s="16" t="n">
        <v>7</v>
      </c>
      <c r="B11" s="16" t="s">
        <v>375</v>
      </c>
      <c r="C11" s="16" t="s">
        <v>376</v>
      </c>
      <c r="D11" s="42" t="s">
        <v>384</v>
      </c>
      <c r="E11" s="43" t="n">
        <v>1</v>
      </c>
      <c r="F11" s="44" t="n">
        <v>0.57</v>
      </c>
      <c r="G11" s="43" t="s">
        <v>132</v>
      </c>
      <c r="H11" s="5" t="n">
        <f aca="false">IF(G11="USD",F11*Inputs!$B$5,F11)</f>
        <v>50.16</v>
      </c>
      <c r="I11" s="7" t="n">
        <f aca="false">E11*H11</f>
        <v>50.16</v>
      </c>
      <c r="J11" s="16" t="str">
        <f aca="false">IF(G11="USD","Yes","No")</f>
        <v>Yes</v>
      </c>
      <c r="K11" s="16" t="s">
        <v>119</v>
      </c>
      <c r="L11" s="16" t="s">
        <v>262</v>
      </c>
    </row>
    <row r="12" customFormat="false" ht="15" hidden="false" customHeight="false" outlineLevel="0" collapsed="false">
      <c r="A12" s="36" t="n">
        <v>8</v>
      </c>
      <c r="B12" s="36" t="s">
        <v>385</v>
      </c>
      <c r="C12" s="36" t="s">
        <v>386</v>
      </c>
      <c r="D12" s="37" t="s">
        <v>387</v>
      </c>
      <c r="E12" s="38" t="n">
        <v>1</v>
      </c>
      <c r="F12" s="45" t="n">
        <v>12</v>
      </c>
      <c r="G12" s="38" t="s">
        <v>132</v>
      </c>
      <c r="H12" s="40" t="n">
        <f aca="false">IF(G12="USD",F12*Inputs!$B$5,F12)</f>
        <v>1056</v>
      </c>
      <c r="I12" s="41" t="n">
        <f aca="false">E12*H12</f>
        <v>1056</v>
      </c>
      <c r="J12" s="36" t="str">
        <f aca="false">IF(G12="USD","Yes","No")</f>
        <v>Yes</v>
      </c>
      <c r="K12" s="36" t="s">
        <v>122</v>
      </c>
      <c r="L12" s="36"/>
    </row>
    <row r="13" customFormat="false" ht="15" hidden="false" customHeight="false" outlineLevel="0" collapsed="false">
      <c r="A13" s="16" t="n">
        <v>9</v>
      </c>
      <c r="B13" s="16" t="s">
        <v>385</v>
      </c>
      <c r="C13" s="16" t="s">
        <v>386</v>
      </c>
      <c r="D13" s="42" t="s">
        <v>388</v>
      </c>
      <c r="E13" s="43" t="n">
        <v>1</v>
      </c>
      <c r="F13" s="44" t="n">
        <v>8</v>
      </c>
      <c r="G13" s="43" t="s">
        <v>132</v>
      </c>
      <c r="H13" s="5" t="n">
        <f aca="false">IF(G13="USD",F13*Inputs!$B$5,F13)</f>
        <v>704</v>
      </c>
      <c r="I13" s="7" t="n">
        <f aca="false">E13*H13</f>
        <v>704</v>
      </c>
      <c r="J13" s="16" t="str">
        <f aca="false">IF(G13="USD","Yes","No")</f>
        <v>Yes</v>
      </c>
      <c r="K13" s="16" t="s">
        <v>119</v>
      </c>
      <c r="L13" s="16" t="s">
        <v>358</v>
      </c>
    </row>
    <row r="14" customFormat="false" ht="15" hidden="false" customHeight="false" outlineLevel="0" collapsed="false">
      <c r="A14" s="16" t="n">
        <v>10</v>
      </c>
      <c r="B14" s="16" t="s">
        <v>385</v>
      </c>
      <c r="C14" s="16" t="s">
        <v>386</v>
      </c>
      <c r="D14" s="42" t="s">
        <v>389</v>
      </c>
      <c r="E14" s="43" t="n">
        <v>1</v>
      </c>
      <c r="F14" s="44" t="n">
        <v>4</v>
      </c>
      <c r="G14" s="43" t="s">
        <v>132</v>
      </c>
      <c r="H14" s="5" t="n">
        <f aca="false">IF(G14="USD",F14*Inputs!$B$5,F14)</f>
        <v>352</v>
      </c>
      <c r="I14" s="7" t="n">
        <f aca="false">E14*H14</f>
        <v>352</v>
      </c>
      <c r="J14" s="16" t="str">
        <f aca="false">IF(G14="USD","Yes","No")</f>
        <v>Yes</v>
      </c>
      <c r="K14" s="16" t="s">
        <v>122</v>
      </c>
      <c r="L14" s="16"/>
    </row>
    <row r="15" customFormat="false" ht="15" hidden="false" customHeight="false" outlineLevel="0" collapsed="false">
      <c r="A15" s="36" t="n">
        <v>11</v>
      </c>
      <c r="B15" s="36" t="s">
        <v>390</v>
      </c>
      <c r="C15" s="36" t="s">
        <v>282</v>
      </c>
      <c r="D15" s="37" t="s">
        <v>391</v>
      </c>
      <c r="E15" s="38" t="n">
        <v>1</v>
      </c>
      <c r="F15" s="45" t="n">
        <v>6</v>
      </c>
      <c r="G15" s="38" t="s">
        <v>132</v>
      </c>
      <c r="H15" s="40" t="n">
        <f aca="false">IF(G15="USD",F15*Inputs!$B$5,F15)</f>
        <v>528</v>
      </c>
      <c r="I15" s="41" t="n">
        <f aca="false">E15*H15</f>
        <v>528</v>
      </c>
      <c r="J15" s="36" t="str">
        <f aca="false">IF(G15="USD","Yes","No")</f>
        <v>Yes</v>
      </c>
      <c r="K15" s="36" t="s">
        <v>122</v>
      </c>
      <c r="L15" s="36"/>
    </row>
    <row r="16" customFormat="false" ht="15" hidden="false" customHeight="false" outlineLevel="0" collapsed="false">
      <c r="A16" s="36" t="n">
        <v>12</v>
      </c>
      <c r="B16" s="36" t="s">
        <v>392</v>
      </c>
      <c r="C16" s="36" t="s">
        <v>393</v>
      </c>
      <c r="D16" s="37" t="s">
        <v>394</v>
      </c>
      <c r="E16" s="38" t="n">
        <v>1</v>
      </c>
      <c r="F16" s="45" t="n">
        <v>6</v>
      </c>
      <c r="G16" s="38" t="s">
        <v>132</v>
      </c>
      <c r="H16" s="40" t="n">
        <f aca="false">IF(G16="USD",F16*Inputs!$B$5,F16)</f>
        <v>528</v>
      </c>
      <c r="I16" s="41" t="n">
        <f aca="false">E16*H16</f>
        <v>528</v>
      </c>
      <c r="J16" s="36" t="str">
        <f aca="false">IF(G16="USD","Yes","No")</f>
        <v>Yes</v>
      </c>
      <c r="K16" s="36" t="s">
        <v>122</v>
      </c>
      <c r="L16" s="36"/>
    </row>
    <row r="18" customFormat="false" ht="15" hidden="false" customHeight="false" outlineLevel="0" collapsed="false">
      <c r="D18" s="46" t="s">
        <v>229</v>
      </c>
      <c r="I18" s="47" t="n">
        <f aca="false">SUM(I5:I16)</f>
        <v>9926.4</v>
      </c>
    </row>
    <row r="19" customFormat="false" ht="15" hidden="false" customHeight="false" outlineLevel="0" collapsed="false">
      <c r="D19" s="48" t="s">
        <v>230</v>
      </c>
      <c r="I19" s="49" t="n">
        <f aca="false">SUMIF(G5:G16,"USD",I5:I16)</f>
        <v>9926.4</v>
      </c>
    </row>
    <row r="20" customFormat="false" ht="15" hidden="false" customHeight="false" outlineLevel="0" collapsed="false">
      <c r="D20" s="48" t="s">
        <v>231</v>
      </c>
      <c r="I20" s="48" t="str">
        <f aca="false">COUNTIF(K5:K16,"Listing")&amp;" of "&amp;COUNTA(D5:D16)</f>
        <v>8 of 12</v>
      </c>
    </row>
    <row r="22" customFormat="false" ht="15" hidden="false" customHeight="false" outlineLevel="0" collapsed="false">
      <c r="A22" s="11" t="s">
        <v>395</v>
      </c>
    </row>
    <row r="23" customFormat="false" ht="30" hidden="false" customHeight="true" outlineLevel="0" collapsed="false">
      <c r="D23" s="3" t="s">
        <v>286</v>
      </c>
      <c r="I23" s="3" t="s">
        <v>287</v>
      </c>
      <c r="J23" s="3" t="s">
        <v>288</v>
      </c>
      <c r="K23" s="3" t="s">
        <v>29</v>
      </c>
    </row>
    <row r="24" customFormat="false" ht="15" hidden="false" customHeight="false" outlineLevel="0" collapsed="false">
      <c r="D24" s="16" t="s">
        <v>396</v>
      </c>
      <c r="I24" s="7" t="n">
        <f aca="false">SUMIF($B$5:$B$16,"Q1",$I$5:$I$16)</f>
        <v>6758.4</v>
      </c>
      <c r="J24" s="30" t="n">
        <f aca="false">IF($I$31=0,0,I24/$I$31)</f>
        <v>0.491868564894279</v>
      </c>
      <c r="K24" s="18" t="s">
        <v>290</v>
      </c>
    </row>
    <row r="25" customFormat="false" ht="15" hidden="false" customHeight="false" outlineLevel="0" collapsed="false">
      <c r="D25" s="16" t="s">
        <v>397</v>
      </c>
      <c r="I25" s="7" t="n">
        <f aca="false">SUMIF($B$5:$B$16,"Q2",$I$5:$I$16)</f>
        <v>2112</v>
      </c>
      <c r="J25" s="30" t="n">
        <f aca="false">IF($I$31=0,0,I25/$I$31)</f>
        <v>0.153708926529462</v>
      </c>
      <c r="K25" s="18" t="s">
        <v>290</v>
      </c>
    </row>
    <row r="26" customFormat="false" ht="15" hidden="false" customHeight="false" outlineLevel="0" collapsed="false">
      <c r="D26" s="16" t="s">
        <v>398</v>
      </c>
      <c r="I26" s="7" t="n">
        <f aca="false">SUMIF($B$5:$B$16,"Q3",$I$5:$I$16)</f>
        <v>528</v>
      </c>
      <c r="J26" s="30" t="n">
        <f aca="false">IF($I$31=0,0,I26/$I$31)</f>
        <v>0.0384272316323655</v>
      </c>
      <c r="K26" s="18" t="s">
        <v>290</v>
      </c>
    </row>
    <row r="27" customFormat="false" ht="15" hidden="false" customHeight="false" outlineLevel="0" collapsed="false">
      <c r="D27" s="16" t="s">
        <v>399</v>
      </c>
      <c r="I27" s="7" t="n">
        <f aca="false">SUMIF($B$5:$B$16,"Q4",$I$5:$I$16)</f>
        <v>528</v>
      </c>
      <c r="J27" s="30" t="n">
        <f aca="false">IF($I$31=0,0,I27/$I$31)</f>
        <v>0.0384272316323655</v>
      </c>
      <c r="K27" s="18" t="s">
        <v>290</v>
      </c>
    </row>
    <row r="28" customFormat="false" ht="15" hidden="false" customHeight="false" outlineLevel="0" collapsed="false">
      <c r="D28" s="16" t="s">
        <v>296</v>
      </c>
      <c r="I28" s="7" t="n">
        <f aca="false">SUMIF($G$5:$G$16,"USD",$I$5:$I$16)*Inputs!$B$8</f>
        <v>1637.856</v>
      </c>
      <c r="J28" s="30" t="n">
        <f aca="false">IF($I$31=0,0,I28/$I$31)</f>
        <v>0.119201272523598</v>
      </c>
      <c r="K28" s="18" t="s">
        <v>297</v>
      </c>
    </row>
    <row r="29" customFormat="false" ht="15" hidden="false" customHeight="false" outlineLevel="0" collapsed="false">
      <c r="D29" s="16" t="s">
        <v>298</v>
      </c>
      <c r="I29" s="7" t="n">
        <f aca="false">Inputs!$B$10</f>
        <v>176</v>
      </c>
      <c r="J29" s="30" t="n">
        <f aca="false">IF($I$31=0,0,I29/$I$31)</f>
        <v>0.0128090772107885</v>
      </c>
      <c r="K29" s="18" t="s">
        <v>299</v>
      </c>
    </row>
    <row r="30" customFormat="false" ht="15" hidden="false" customHeight="false" outlineLevel="0" collapsed="false">
      <c r="D30" s="16" t="s">
        <v>300</v>
      </c>
      <c r="I30" s="7" t="n">
        <f aca="false">Inputs!$B$12</f>
        <v>2000</v>
      </c>
      <c r="J30" s="30" t="n">
        <f aca="false">IF($I$31=0,0,I30/$I$31)</f>
        <v>0.145557695577142</v>
      </c>
      <c r="K30" s="18" t="s">
        <v>301</v>
      </c>
    </row>
    <row r="31" customFormat="false" ht="15" hidden="false" customHeight="false" outlineLevel="0" collapsed="false">
      <c r="D31" s="8" t="s">
        <v>400</v>
      </c>
      <c r="I31" s="9" t="n">
        <f aca="false">SUM(I24:I30)</f>
        <v>13740.256</v>
      </c>
      <c r="J31" s="50" t="n">
        <f aca="false">IF($I$31=0,0,I31/$I$31)</f>
        <v>1</v>
      </c>
      <c r="K31" s="8"/>
    </row>
  </sheetData>
  <autoFilter ref="A4:L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304</v>
      </c>
    </row>
    <row r="4" customFormat="false" ht="15" hidden="false" customHeight="false" outlineLevel="0" collapsed="false">
      <c r="A4" s="11" t="s">
        <v>305</v>
      </c>
    </row>
    <row r="5" customFormat="false" ht="30" hidden="false" customHeight="true" outlineLevel="0" collapsed="false">
      <c r="A5" s="3" t="s">
        <v>306</v>
      </c>
      <c r="B5" s="3" t="s">
        <v>44</v>
      </c>
      <c r="C5" s="3" t="s">
        <v>307</v>
      </c>
    </row>
    <row r="6" customFormat="false" ht="15" hidden="false" customHeight="false" outlineLevel="0" collapsed="false">
      <c r="A6" s="16" t="s">
        <v>308</v>
      </c>
      <c r="B6" s="5" t="n">
        <f aca="false">'Mixer Cost Breakup'!E9</f>
        <v>62211.88</v>
      </c>
      <c r="C6" s="18" t="s">
        <v>309</v>
      </c>
    </row>
    <row r="7" customFormat="false" ht="15" hidden="false" customHeight="false" outlineLevel="0" collapsed="false">
      <c r="A7" s="16" t="s">
        <v>310</v>
      </c>
      <c r="B7" s="5" t="n">
        <f aca="false">'Mixer Cost Breakup'!G9</f>
        <v>2872.408</v>
      </c>
      <c r="C7" s="18" t="s">
        <v>311</v>
      </c>
    </row>
    <row r="8" customFormat="false" ht="15" hidden="false" customHeight="false" outlineLevel="0" collapsed="false">
      <c r="A8" s="16" t="s">
        <v>312</v>
      </c>
      <c r="B8" s="7" t="n">
        <f aca="false">B6+B7</f>
        <v>65084.288</v>
      </c>
      <c r="C8" s="18"/>
    </row>
    <row r="9" customFormat="false" ht="15" hidden="false" customHeight="false" outlineLevel="0" collapsed="false">
      <c r="A9" s="16" t="s">
        <v>313</v>
      </c>
      <c r="B9" s="7" t="n">
        <f aca="false">B8*Inputs!$B$7</f>
        <v>9762.6432</v>
      </c>
      <c r="C9" s="18" t="s">
        <v>314</v>
      </c>
    </row>
    <row r="10" customFormat="false" ht="15" hidden="false" customHeight="false" outlineLevel="0" collapsed="false">
      <c r="A10" s="26" t="s">
        <v>402</v>
      </c>
      <c r="B10" s="27" t="n">
        <f aca="false">B8+B9</f>
        <v>74846.9312</v>
      </c>
      <c r="C10" s="52" t="s">
        <v>316</v>
      </c>
    </row>
    <row r="11" customFormat="false" ht="15" hidden="false" customHeight="false" outlineLevel="0" collapsed="false">
      <c r="A11" s="2" t="s">
        <v>317</v>
      </c>
      <c r="B11" s="31" t="str">
        <f aca="false">IF(ABS(B10-'Mixer Cost Breakup'!J9)&lt;1,"OK","MISMATCH")</f>
        <v>OK</v>
      </c>
    </row>
    <row r="12" customFormat="false" ht="15" hidden="false" customHeight="false" outlineLevel="0" collapsed="false">
      <c r="A12" s="2" t="s">
        <v>318</v>
      </c>
      <c r="B12" s="15" t="str">
        <f aca="false">COUNTIF('Mixer BOM'!K5:K30,"Listing")&amp;" of "&amp;COUNTA('Mixer BOM'!D5:D30)</f>
        <v>23 of 26</v>
      </c>
    </row>
    <row r="14" customFormat="false" ht="15" hidden="false" customHeight="false" outlineLevel="0" collapsed="false">
      <c r="A14" s="11" t="s">
        <v>319</v>
      </c>
    </row>
    <row r="15" customFormat="false" ht="30" hidden="false" customHeight="true" outlineLevel="0" collapsed="false">
      <c r="A15" s="3" t="s">
        <v>320</v>
      </c>
      <c r="B15" s="3" t="s">
        <v>44</v>
      </c>
      <c r="C15" s="3" t="s">
        <v>29</v>
      </c>
    </row>
    <row r="16" customFormat="false" ht="15" hidden="false" customHeight="false" outlineLevel="0" collapsed="false">
      <c r="A16" s="16" t="s">
        <v>321</v>
      </c>
      <c r="B16" s="7" t="n">
        <f aca="false">B10</f>
        <v>74846.9312</v>
      </c>
      <c r="C16" s="18" t="s">
        <v>322</v>
      </c>
    </row>
    <row r="17" customFormat="false" ht="15" hidden="false" customHeight="false" outlineLevel="0" collapsed="false">
      <c r="A17" s="53" t="s">
        <v>323</v>
      </c>
      <c r="B17" s="54" t="n">
        <f aca="false">'Mixer Production (CN)'!I31</f>
        <v>13740.256</v>
      </c>
      <c r="C17" s="52" t="s">
        <v>324</v>
      </c>
    </row>
    <row r="18" customFormat="false" ht="15" hidden="false" customHeight="false" outlineLevel="0" collapsed="false">
      <c r="A18" s="16" t="s">
        <v>4</v>
      </c>
      <c r="B18" s="5" t="n">
        <f aca="false">Inputs!$B$14</f>
        <v>15000</v>
      </c>
      <c r="C18" s="18" t="s">
        <v>299</v>
      </c>
    </row>
    <row r="19" customFormat="false" ht="15" hidden="false" customHeight="false" outlineLevel="0" collapsed="false">
      <c r="A19" s="16" t="s">
        <v>325</v>
      </c>
      <c r="B19" s="6" t="n">
        <f aca="false">B18-B17</f>
        <v>1259.744</v>
      </c>
      <c r="C19" s="18" t="s">
        <v>326</v>
      </c>
    </row>
    <row r="20" customFormat="false" ht="15" hidden="false" customHeight="false" outlineLevel="0" collapsed="false">
      <c r="A20" s="16" t="s">
        <v>327</v>
      </c>
      <c r="B20" s="30" t="n">
        <f aca="false">IF(B18=0,0,B17/B18)</f>
        <v>0.916017066666667</v>
      </c>
      <c r="C20" s="18"/>
    </row>
    <row r="21" customFormat="false" ht="15" hidden="false" customHeight="false" outlineLevel="0" collapsed="false">
      <c r="A21" s="16" t="s">
        <v>328</v>
      </c>
      <c r="B21" s="7" t="n">
        <f aca="false">B16-B17</f>
        <v>61106.6752</v>
      </c>
      <c r="C21" s="18"/>
    </row>
    <row r="22" customFormat="false" ht="15" hidden="false" customHeight="false" outlineLevel="0" collapsed="false">
      <c r="A22" s="16" t="s">
        <v>329</v>
      </c>
      <c r="B22" s="30" t="n">
        <f aca="false">IF(B16=0,0,B21/B16)</f>
        <v>0.816421918979091</v>
      </c>
      <c r="C22" s="18"/>
    </row>
    <row r="23" customFormat="false" ht="15" hidden="false" customHeight="false" outlineLevel="0" collapsed="false">
      <c r="A23" s="16" t="s">
        <v>330</v>
      </c>
      <c r="B23" s="7" t="n">
        <f aca="false">B17*(1+Inputs!$B$16)</f>
        <v>15114.2816</v>
      </c>
      <c r="C23" s="18" t="s">
        <v>331</v>
      </c>
    </row>
    <row r="24" customFormat="false" ht="15" hidden="false" customHeight="false" outlineLevel="0" collapsed="false">
      <c r="A24" s="16" t="s">
        <v>332</v>
      </c>
      <c r="B24" s="6" t="n">
        <f aca="false">B18-B23</f>
        <v>-114.2816</v>
      </c>
      <c r="C24" s="18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8.5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2" t="s">
        <v>404</v>
      </c>
    </row>
    <row r="4" customFormat="false" ht="30" hidden="false" customHeight="true" outlineLevel="0" collapsed="false">
      <c r="A4" s="3" t="s">
        <v>27</v>
      </c>
      <c r="B4" s="3" t="s">
        <v>28</v>
      </c>
      <c r="C4" s="3" t="s">
        <v>405</v>
      </c>
      <c r="D4" s="3" t="s">
        <v>406</v>
      </c>
    </row>
    <row r="5" customFormat="false" ht="15" hidden="false" customHeight="false" outlineLevel="0" collapsed="false">
      <c r="A5" s="16" t="s">
        <v>407</v>
      </c>
      <c r="B5" s="55" t="n">
        <v>88</v>
      </c>
      <c r="C5" s="16" t="s">
        <v>408</v>
      </c>
      <c r="D5" s="18" t="s">
        <v>409</v>
      </c>
    </row>
    <row r="6" customFormat="false" ht="15" hidden="false" customHeight="false" outlineLevel="0" collapsed="false">
      <c r="A6" s="16" t="s">
        <v>410</v>
      </c>
      <c r="B6" s="20" t="n">
        <v>0.35</v>
      </c>
      <c r="C6" s="16" t="s">
        <v>411</v>
      </c>
      <c r="D6" s="18" t="s">
        <v>412</v>
      </c>
    </row>
    <row r="7" customFormat="false" ht="15" hidden="false" customHeight="false" outlineLevel="0" collapsed="false">
      <c r="A7" s="16" t="s">
        <v>413</v>
      </c>
      <c r="B7" s="20" t="n">
        <v>0.15</v>
      </c>
      <c r="C7" s="16" t="s">
        <v>411</v>
      </c>
      <c r="D7" s="18" t="s">
        <v>414</v>
      </c>
    </row>
    <row r="8" customFormat="false" ht="15" hidden="false" customHeight="false" outlineLevel="0" collapsed="false">
      <c r="A8" s="16" t="s">
        <v>415</v>
      </c>
      <c r="B8" s="20" t="n">
        <v>0.165</v>
      </c>
      <c r="C8" s="16" t="s">
        <v>411</v>
      </c>
      <c r="D8" s="18" t="s">
        <v>416</v>
      </c>
    </row>
    <row r="9" customFormat="false" ht="15" hidden="false" customHeight="false" outlineLevel="0" collapsed="false">
      <c r="A9" s="16" t="s">
        <v>417</v>
      </c>
      <c r="B9" s="19" t="n">
        <v>3520</v>
      </c>
      <c r="C9" s="16" t="s">
        <v>418</v>
      </c>
      <c r="D9" s="18" t="s">
        <v>419</v>
      </c>
    </row>
    <row r="10" customFormat="false" ht="15" hidden="false" customHeight="false" outlineLevel="0" collapsed="false">
      <c r="A10" s="16" t="s">
        <v>420</v>
      </c>
      <c r="B10" s="19" t="n">
        <v>176</v>
      </c>
      <c r="C10" s="16" t="s">
        <v>418</v>
      </c>
      <c r="D10" s="18" t="s">
        <v>419</v>
      </c>
    </row>
    <row r="11" customFormat="false" ht="15" hidden="false" customHeight="false" outlineLevel="0" collapsed="false">
      <c r="A11" s="16" t="s">
        <v>421</v>
      </c>
      <c r="B11" s="19" t="n">
        <v>12000</v>
      </c>
      <c r="C11" s="16" t="s">
        <v>418</v>
      </c>
      <c r="D11" s="18" t="s">
        <v>422</v>
      </c>
    </row>
    <row r="12" customFormat="false" ht="15" hidden="false" customHeight="false" outlineLevel="0" collapsed="false">
      <c r="A12" s="16" t="s">
        <v>423</v>
      </c>
      <c r="B12" s="19" t="n">
        <v>2000</v>
      </c>
      <c r="C12" s="16" t="s">
        <v>418</v>
      </c>
      <c r="D12" s="18" t="s">
        <v>422</v>
      </c>
    </row>
    <row r="13" customFormat="false" ht="15" hidden="false" customHeight="false" outlineLevel="0" collapsed="false">
      <c r="A13" s="16" t="s">
        <v>424</v>
      </c>
      <c r="B13" s="19" t="n">
        <v>150000</v>
      </c>
      <c r="C13" s="16" t="s">
        <v>418</v>
      </c>
      <c r="D13" s="18" t="s">
        <v>425</v>
      </c>
    </row>
    <row r="14" customFormat="false" ht="15" hidden="false" customHeight="false" outlineLevel="0" collapsed="false">
      <c r="A14" s="16" t="s">
        <v>426</v>
      </c>
      <c r="B14" s="19" t="n">
        <v>15000</v>
      </c>
      <c r="C14" s="16" t="s">
        <v>418</v>
      </c>
      <c r="D14" s="18" t="s">
        <v>425</v>
      </c>
    </row>
    <row r="15" customFormat="false" ht="15" hidden="false" customHeight="false" outlineLevel="0" collapsed="false">
      <c r="A15" s="16" t="s">
        <v>427</v>
      </c>
      <c r="B15" s="17" t="n">
        <v>100</v>
      </c>
      <c r="C15" s="16" t="s">
        <v>428</v>
      </c>
      <c r="D15" s="18" t="s">
        <v>429</v>
      </c>
    </row>
    <row r="16" customFormat="false" ht="15" hidden="false" customHeight="false" outlineLevel="0" collapsed="false">
      <c r="A16" s="16" t="s">
        <v>430</v>
      </c>
      <c r="B16" s="20" t="n">
        <v>0.1</v>
      </c>
      <c r="C16" s="16" t="s">
        <v>411</v>
      </c>
      <c r="D16" s="18" t="s">
        <v>431</v>
      </c>
    </row>
    <row r="19" customFormat="false" ht="15" hidden="false" customHeight="false" outlineLevel="0" collapsed="false">
      <c r="A19" s="31" t="s">
        <v>432</v>
      </c>
    </row>
    <row r="20" customFormat="false" ht="15" hidden="false" customHeight="false" outlineLevel="0" collapsed="false">
      <c r="A20" s="56" t="s">
        <v>433</v>
      </c>
    </row>
    <row r="21" customFormat="false" ht="15" hidden="false" customHeight="false" outlineLevel="0" collapsed="false">
      <c r="A21" s="15" t="s">
        <v>434</v>
      </c>
    </row>
    <row r="22" customFormat="false" ht="15" hidden="false" customHeight="false" outlineLevel="0" collapsed="false">
      <c r="A22" s="5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2026-09-29T16:42:10Z</dcterms:created>
  <dc:creator>openpyxl</dc:creator>
  <dc:description/>
  <dc:language>en-US</dc:language>
  <cp:lastModifiedBy/>
  <dcterms:modified xsi:type="dcterms:W3CDTF">2026-09-29T16:42:13Z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